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louws/Documents/Repositories/us2lc-pipeline-replication/evaluation/quantitative_analysis/"/>
    </mc:Choice>
  </mc:AlternateContent>
  <xr:revisionPtr revIDLastSave="0" documentId="13_ncr:1_{D9AA0834-98F8-344B-A719-0F069B8813BA}" xr6:coauthVersionLast="47" xr6:coauthVersionMax="47" xr10:uidLastSave="{00000000-0000-0000-0000-000000000000}"/>
  <bookViews>
    <workbookView xWindow="0" yWindow="660" windowWidth="29400" windowHeight="18460" activeTab="9" xr2:uid="{413BC68B-68F0-FC4C-8886-206515E6E8BB}"/>
  </bookViews>
  <sheets>
    <sheet name="README" sheetId="3" r:id="rId1"/>
    <sheet name="definitions" sheetId="13" r:id="rId2"/>
    <sheet name="all_runs" sheetId="1" r:id="rId3"/>
    <sheet name="dataset_summary" sheetId="2" r:id="rId4"/>
    <sheet name="artifiact_completeness" sheetId="10" r:id="rId5"/>
    <sheet name="stability" sheetId="4" r:id="rId6"/>
    <sheet name="coverage" sheetId="7" r:id="rId7"/>
    <sheet name="warnings" sheetId="8" r:id="rId8"/>
    <sheet name="mendix_builder" sheetId="9" r:id="rId9"/>
    <sheet name="mendix_error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" i="1" l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  <c r="I27" i="10"/>
  <c r="J27" i="10" s="1"/>
  <c r="I28" i="10"/>
  <c r="I26" i="10"/>
  <c r="J26" i="10" s="1"/>
  <c r="I18" i="10"/>
  <c r="I19" i="10"/>
  <c r="I20" i="10"/>
  <c r="I21" i="10"/>
  <c r="I22" i="10"/>
  <c r="I23" i="10"/>
  <c r="J23" i="10" s="1"/>
  <c r="I24" i="10"/>
  <c r="J24" i="10" s="1"/>
  <c r="I25" i="10"/>
  <c r="J25" i="10" s="1"/>
  <c r="I17" i="10"/>
  <c r="J17" i="10" s="1"/>
  <c r="I15" i="10"/>
  <c r="J15" i="10" s="1"/>
  <c r="I16" i="10"/>
  <c r="J16" i="10" s="1"/>
  <c r="I14" i="10"/>
  <c r="J14" i="10" s="1"/>
  <c r="I3" i="10"/>
  <c r="I4" i="10"/>
  <c r="I5" i="10"/>
  <c r="J5" i="10" s="1"/>
  <c r="I6" i="10"/>
  <c r="I7" i="10"/>
  <c r="I8" i="10"/>
  <c r="I9" i="10"/>
  <c r="J9" i="10" s="1"/>
  <c r="I10" i="10"/>
  <c r="J10" i="10" s="1"/>
  <c r="I11" i="10"/>
  <c r="I12" i="10"/>
  <c r="I13" i="10"/>
  <c r="I2" i="10"/>
  <c r="J2" i="10" s="1"/>
  <c r="J28" i="10"/>
  <c r="J3" i="10"/>
  <c r="J4" i="10"/>
  <c r="J6" i="10"/>
  <c r="J7" i="10"/>
  <c r="J8" i="10"/>
  <c r="J11" i="10"/>
  <c r="J12" i="10"/>
  <c r="J13" i="10"/>
  <c r="J18" i="10"/>
  <c r="J19" i="10"/>
  <c r="J20" i="10"/>
  <c r="J21" i="10"/>
  <c r="J22" i="10"/>
</calcChain>
</file>

<file path=xl/sharedStrings.xml><?xml version="1.0" encoding="utf-8"?>
<sst xmlns="http://schemas.openxmlformats.org/spreadsheetml/2006/main" count="1327" uniqueCount="442">
  <si>
    <t>dataset</t>
  </si>
  <si>
    <t>Pipeline performance metrics us2lc-pipeline</t>
  </si>
  <si>
    <t xml:space="preserve">All runs performed on May 29th 2026 </t>
  </si>
  <si>
    <t xml:space="preserve">A run is counted when it succeeds all steps in the process. </t>
  </si>
  <si>
    <t xml:space="preserve">All sets were run 3 times or until 3 successful runs were clocked. </t>
  </si>
  <si>
    <t xml:space="preserve">If process visualizer failed, it is noted and turned off to complete a run. </t>
  </si>
  <si>
    <t>run_id</t>
  </si>
  <si>
    <t>All runs used Gemma4:4b for the pipeline, and Llama3 for PV</t>
  </si>
  <si>
    <t>pv active?</t>
  </si>
  <si>
    <t>successful: no json errors, final, workable plan is generated</t>
  </si>
  <si>
    <t>validation_passed</t>
  </si>
  <si>
    <t xml:space="preserve">Mendix apps were generated from the plans seperately from the runs. </t>
  </si>
  <si>
    <t>mendix_app_created</t>
  </si>
  <si>
    <t>total_end_to_end_time_s</t>
  </si>
  <si>
    <t>vn_time_s</t>
  </si>
  <si>
    <t>pv_time_s</t>
  </si>
  <si>
    <t>first_llm_duration_s</t>
  </si>
  <si>
    <t>domain_llm_duration_s</t>
  </si>
  <si>
    <t>entity_count</t>
  </si>
  <si>
    <t>attribute_count</t>
  </si>
  <si>
    <t>association_count</t>
  </si>
  <si>
    <t>page_count</t>
  </si>
  <si>
    <t>microflow_count</t>
  </si>
  <si>
    <t>nanoflow_count</t>
  </si>
  <si>
    <t>workflow_count</t>
  </si>
  <si>
    <t>security_role_count</t>
  </si>
  <si>
    <t>generated_artifact_count</t>
  </si>
  <si>
    <t>mendix_error_count</t>
  </si>
  <si>
    <t>mendix_error_rate</t>
  </si>
  <si>
    <t>notes</t>
  </si>
  <si>
    <t>mean_total_time_s</t>
  </si>
  <si>
    <t>sd_total_time_s</t>
  </si>
  <si>
    <t>min_total_time_s</t>
  </si>
  <si>
    <t>max_total_time_s</t>
  </si>
  <si>
    <t>mean_llm_duration_s</t>
  </si>
  <si>
    <t>mean_generated_artifacts</t>
  </si>
  <si>
    <t>sd_generated_artifacts</t>
  </si>
  <si>
    <t>mean_mendix_errors</t>
  </si>
  <si>
    <t>mean_mendix_error_rate</t>
  </si>
  <si>
    <t>best_run_id</t>
  </si>
  <si>
    <t>summary_notes</t>
  </si>
  <si>
    <t>message</t>
  </si>
  <si>
    <t>artifact_type</t>
  </si>
  <si>
    <t>artifact_name</t>
  </si>
  <si>
    <t>category</t>
  </si>
  <si>
    <t>page</t>
  </si>
  <si>
    <t>microflow</t>
  </si>
  <si>
    <t>workflow</t>
  </si>
  <si>
    <t>security</t>
  </si>
  <si>
    <t>navigation</t>
  </si>
  <si>
    <t>reference</t>
  </si>
  <si>
    <t>unknown</t>
  </si>
  <si>
    <t>run_ids_compared</t>
  </si>
  <si>
    <t>exact_match_1_2</t>
  </si>
  <si>
    <t>exact_match_1_3</t>
  </si>
  <si>
    <t>exact_match_2_3</t>
  </si>
  <si>
    <t>exact_match_rate</t>
  </si>
  <si>
    <t>mean_page_step_type_overlap</t>
  </si>
  <si>
    <t>entity_count_variance</t>
  </si>
  <si>
    <t>page_count_variance</t>
  </si>
  <si>
    <t>microflow_count_variance</t>
  </si>
  <si>
    <t>workflow_count_variance</t>
  </si>
  <si>
    <t>generated_artifact_count_variance</t>
  </si>
  <si>
    <t>run-01</t>
  </si>
  <si>
    <t>enumeration_count</t>
  </si>
  <si>
    <t>coverage_score</t>
  </si>
  <si>
    <t>coverage_covered</t>
  </si>
  <si>
    <t>coverage_total</t>
  </si>
  <si>
    <t>missing_story_count</t>
  </si>
  <si>
    <t>warning_count</t>
  </si>
  <si>
    <t>model</t>
  </si>
  <si>
    <t>prompt_tokens</t>
  </si>
  <si>
    <t>output_tokens</t>
  </si>
  <si>
    <t>tokens_per_second</t>
  </si>
  <si>
    <t>run-02</t>
  </si>
  <si>
    <t>run-03</t>
  </si>
  <si>
    <t>mean_coverage_score</t>
  </si>
  <si>
    <t>run-01, run-02, run-03</t>
  </si>
  <si>
    <t>covered_stories</t>
  </si>
  <si>
    <t>total_stories</t>
  </si>
  <si>
    <t>mean_lexical_score</t>
  </si>
  <si>
    <t>coverage_rate</t>
  </si>
  <si>
    <t>count</t>
  </si>
  <si>
    <t>added_missing_artifact</t>
  </si>
  <si>
    <t>domain_review</t>
  </si>
  <si>
    <t>dropped_association</t>
  </si>
  <si>
    <t>dropped_low_relevance</t>
  </si>
  <si>
    <t>dropped_placeholder_page</t>
  </si>
  <si>
    <t>other</t>
  </si>
  <si>
    <t>repaired_artifact</t>
  </si>
  <si>
    <t>Warning category</t>
  </si>
  <si>
    <t>Description</t>
  </si>
  <si>
    <t>The pipeline removed an association because it could not be resolved safely after normalization, usually because one or both referenced entities were missing, renamed, or filtered out.</t>
  </si>
  <si>
    <t>The pipeline removed an LLM-generated entity or page because it was judged insufficiently grounded in the user stories or supporting model evidence.</t>
  </si>
  <si>
    <t>The pipeline removed a page that appeared to be only a placeholder, for example because it had no useful widgets or implementation-oriented content.</t>
  </si>
  <si>
    <t>The pipeline added a missing artifact, commonly an overview or edit page for an entity, to make the generated application more complete and executable.</t>
  </si>
  <si>
    <t>The pipeline modified an existing generated artifact to keep it consistent with the final plan, such as repairing a page after associations changed.</t>
  </si>
  <si>
    <t>The domain-model review stage produced a warning about domain-model quality, consistency, or interpretation after checking the generated model against the input evidence.</t>
  </si>
  <si>
    <t>process_visualizer</t>
  </si>
  <si>
    <t>A warning related to Process Visualizer preprocessing, such as missing, failed, skipped, or partial process-model extraction.</t>
  </si>
  <si>
    <t>visual_narrator</t>
  </si>
  <si>
    <t>A warning related to Visual Narrator preprocessing, such as missing, failed, skipped, or partial domain-model extraction.</t>
  </si>
  <si>
    <t>A warning that did not match one of the defined categories and should be inspected manually before interpreting.</t>
  </si>
  <si>
    <t>reference_integrity_ok</t>
  </si>
  <si>
    <t>checked_reference_count</t>
  </si>
  <si>
    <t>broken_reference_count</t>
  </si>
  <si>
    <t>reference_integrity_issue_rate</t>
  </si>
  <si>
    <t>run</t>
  </si>
  <si>
    <t>ok</t>
  </si>
  <si>
    <t>app_id</t>
  </si>
  <si>
    <t>created_app_id</t>
  </si>
  <si>
    <t>branch</t>
  </si>
  <si>
    <t>working_copy_id</t>
  </si>
  <si>
    <t>committed</t>
  </si>
  <si>
    <t>total_ms</t>
  </si>
  <si>
    <t>domainModel_ms</t>
  </si>
  <si>
    <t>security_ms</t>
  </si>
  <si>
    <t>microflowsNanoflows_ms</t>
  </si>
  <si>
    <t>workflows_ms</t>
  </si>
  <si>
    <t>pages_ms</t>
  </si>
  <si>
    <t>verification_ms</t>
  </si>
  <si>
    <t>commit_ms</t>
  </si>
  <si>
    <t>error</t>
  </si>
  <si>
    <t>main</t>
  </si>
  <si>
    <t>evaluated_artifacts</t>
  </si>
  <si>
    <t>complete_artifacts</t>
  </si>
  <si>
    <t>incomplete_artifacts</t>
  </si>
  <si>
    <t>implementation_completeness_rate</t>
  </si>
  <si>
    <t>implementation_incompleteness_rate</t>
  </si>
  <si>
    <t>generic_artifact_count</t>
  </si>
  <si>
    <t>generic_only_entity_count</t>
  </si>
  <si>
    <t>empty_entity_count</t>
  </si>
  <si>
    <t>empty_page_count</t>
  </si>
  <si>
    <t>generic_artifact_rate</t>
  </si>
  <si>
    <t>mean_generic_artifact_count</t>
  </si>
  <si>
    <t>mean_generic_only_entity_count</t>
  </si>
  <si>
    <t>mean_empty_entity_count</t>
  </si>
  <si>
    <t>mean_empty_page_count</t>
  </si>
  <si>
    <t>mean_generic_artifact_rate</t>
  </si>
  <si>
    <t>mean_checked_references</t>
  </si>
  <si>
    <t>mean_broken_references</t>
  </si>
  <si>
    <t>mean_reference_integrity_issue_rate</t>
  </si>
  <si>
    <t>mean_coverage_covered</t>
  </si>
  <si>
    <t>mean_coverage_total</t>
  </si>
  <si>
    <t>mean_missing_story_count</t>
  </si>
  <si>
    <t>error_code</t>
  </si>
  <si>
    <t>entity</t>
  </si>
  <si>
    <t>attribute</t>
  </si>
  <si>
    <t>empty_microflow_count</t>
  </si>
  <si>
    <t>NaN</t>
  </si>
  <si>
    <t>mean_empty_microflow_count</t>
  </si>
  <si>
    <t>Metric</t>
  </si>
  <si>
    <t>Description / definition</t>
  </si>
  <si>
    <t>Duration of the domain-review stage in seconds, inferred from progress timestamps between “Reviewing domain model validity” and “Validating plan schema”.</t>
  </si>
  <si>
    <t>Total number of attributes across all domain model entities.</t>
  </si>
  <si>
    <t>Sum of entities, attributes, associations, enumerations, pages, microflows, nanoflows, workflows, and security roles.</t>
  </si>
  <si>
    <t>Total count of generic-only entities, empty entities, and empty pages.</t>
  </si>
  <si>
    <t>Number of entities with zero attributes.</t>
  </si>
  <si>
    <t>Boolean flag that is true when all checked page, navigation, entity, microflow, and workflow references resolve.</t>
  </si>
  <si>
    <t>Number of references checked for integrity across pages, page steps, navigation, microflows, workflows, and entity refs.</t>
  </si>
  <si>
    <t>Number of checked references that did not resolve to a valid local artifact or allowed external entity prefix.</t>
  </si>
  <si>
    <t>Dataset-level manual placeholder for average Mendix error count.</t>
  </si>
  <si>
    <t>Dataset-level manual placeholder for average Mendix error rate.</t>
  </si>
  <si>
    <t>exact_match</t>
  </si>
  <si>
    <t>Mean of pairwise exact matches for a dataset; equivalent to the proportion of run pairs with identical stable plan fingerprints.</t>
  </si>
  <si>
    <t>entity_jaccard</t>
  </si>
  <si>
    <t>Jaccard overlap between entity name sets from two runs.</t>
  </si>
  <si>
    <t>association_jaccard</t>
  </si>
  <si>
    <t>Jaccard overlap between association identifier sets from two runs.</t>
  </si>
  <si>
    <t>page_jaccard</t>
  </si>
  <si>
    <t>Jaccard overlap between page reference/name sets from two runs.</t>
  </si>
  <si>
    <t>flow_jaccard</t>
  </si>
  <si>
    <t>Jaccard overlap between microflow, nanoflow, and workflow reference/name sets from two runs.</t>
  </si>
  <si>
    <t>page_step_type_overlap</t>
  </si>
  <si>
    <t>Number of story coverage entries evaluated for a run.</t>
  </si>
  <si>
    <t>Number of artifacts evaluated by implementation completeness checks: entities, associations, pages, microflows, nanoflows, and workflows.</t>
  </si>
  <si>
    <t>Number of evaluated artifacts marked complete by notebook heuristics.</t>
  </si>
  <si>
    <t>Number of evaluated artifacts marked incomplete by notebook heuristics.</t>
  </si>
  <si>
    <t>Boolean flag indicating whether Process Visualizer was enabled for the run, from generation-report.json -&gt; visualNarrator/processVisualizer.enabled.</t>
  </si>
  <si>
    <t>Boolean flag indicating whether generated plan validation passed, from generation-report.json -&gt; validation.ok.</t>
  </si>
  <si>
    <t>Manual/notebook placeholder for whether a Mendix app was successfully created from the generated plan. Currently None in the notebook.</t>
  </si>
  <si>
    <t>Total generation runtime in seconds, computed as the largest +Xs timestamp found in stderr.log progress lines.</t>
  </si>
  <si>
    <t>Visual Narrator runtime in seconds, computed from generation-report.json -&gt; visualNarrator.durationMs / 1000.</t>
  </si>
  <si>
    <t>Process Visualizer runtime in seconds, computed from generation-report.json -&gt; processVisualizer.durationMs / 1000.</t>
  </si>
  <si>
    <t>First LLM call duration in seconds, computed from generation-report.json -&gt; ollama.totalDuration / 1,000,000,000.</t>
  </si>
  <si>
    <t>Number of entities in plan.json -&gt; domainModel.entities.</t>
  </si>
  <si>
    <t>Number of associations in plan.json -&gt; domainModel.associations.</t>
  </si>
  <si>
    <t>Number of enumerations in plan.json -&gt; domainModel.enumerations.</t>
  </si>
  <si>
    <t>Number of page specs in plan.json -&gt; pages, supporting both direct lists and {specs: [...]} format.</t>
  </si>
  <si>
    <t>Number of microflow specs in plan.json -&gt; microflows.</t>
  </si>
  <si>
    <t>Number of microflows with no non-empty actions, steps, activities, content, or actions_required. Returns None when there are no microflows.</t>
  </si>
  <si>
    <t>Number of nanoflow specs in plan.json -&gt; nanoflows.</t>
  </si>
  <si>
    <t>Number of workflow specs in plan.json -&gt; workflows.</t>
  </si>
  <si>
    <t>Maximum of the number of security.moduleRoles and security.userRoles.</t>
  </si>
  <si>
    <t>Number of entities whose attributes are only generic template fields such as title, description, status, createdAt, createdDate, updatedAt, or modifiedAt, with at least three such fields.</t>
  </si>
  <si>
    <t>Number of pages with zero recursive page steps in content, templateContent, itemContent, or columns.</t>
  </si>
  <si>
    <t>generic_artifact_count / generated_artifact_count.</t>
  </si>
  <si>
    <t>broken_reference_count / checked_reference_count; returns 0 when no references were checked.</t>
  </si>
  <si>
    <t>Manual/notebook placeholder for number of Mendix Studio Pro or builder errors. Currently None in the notebook.</t>
  </si>
  <si>
    <t>Manual/notebook placeholder for Mendix errors normalized by generated artifact count. Currently None in the notebook.</t>
  </si>
  <si>
    <t>Story coverage score from generation-report.json -&gt; coverage.score.</t>
  </si>
  <si>
    <t>Number of user stories marked covered in generation-report.json -&gt; coverage.covered.</t>
  </si>
  <si>
    <t>Total number of user stories evaluated for coverage in generation-report.json -&gt; coverage.total.</t>
  </si>
  <si>
    <t>Number of missing story IDs, computed as len(coverage.missingStoryIds).</t>
  </si>
  <si>
    <t>Number of warnings in generation-report.json -&gt; warnings.</t>
  </si>
  <si>
    <t>Prompt token count from generation-report.json -&gt; ollama.promptEvalCount.</t>
  </si>
  <si>
    <t>Output token count from generation-report.json -&gt; ollama.evalCount.</t>
  </si>
  <si>
    <t>output_tokens / first_llm_duration_s.</t>
  </si>
  <si>
    <t>Mean total_end_to_end_time_s across runs for a dataset.</t>
  </si>
  <si>
    <t>Sample standard deviation of total_end_to_end_time_s across runs; 0 for one run, None for no values.</t>
  </si>
  <si>
    <t>Minimum total_end_to_end_time_s across runs for a dataset.</t>
  </si>
  <si>
    <t>Maximum total_end_to_end_time_s across runs for a dataset.</t>
  </si>
  <si>
    <t>Mean first_llm_duration_s across runs for a dataset.</t>
  </si>
  <si>
    <t>Mean generated_artifact_count across runs for a dataset.</t>
  </si>
  <si>
    <t>Sample standard deviation of generated_artifact_count across runs.</t>
  </si>
  <si>
    <t>Mean generic_artifact_count across runs.</t>
  </si>
  <si>
    <t>Mean generic_only_entity_count across runs.</t>
  </si>
  <si>
    <t>Mean empty_entity_count across runs.</t>
  </si>
  <si>
    <t>Mean empty_page_count across runs.</t>
  </si>
  <si>
    <t>Mean empty_microflow_count across runs.</t>
  </si>
  <si>
    <t>Mean generic_artifact_rate across runs.</t>
  </si>
  <si>
    <t>Mean checked_reference_count across runs.</t>
  </si>
  <si>
    <t>Mean broken_reference_count across runs.</t>
  </si>
  <si>
    <t>Mean reference_integrity_issue_rate across runs.</t>
  </si>
  <si>
    <t>Mean coverage_score across runs.</t>
  </si>
  <si>
    <t>Mean coverage_covered across runs.</t>
  </si>
  <si>
    <t>Mean coverage_total across runs.</t>
  </si>
  <si>
    <t>Mean missing_story_count across runs.</t>
  </si>
  <si>
    <t>Pairwise boolean: true when two generated plans have the same SHA-1 fingerprint after removing volatile keys generatedAt, startedAt, and finishedAt.</t>
  </si>
  <si>
    <t>artifact_jaccard / mean_jaccard</t>
  </si>
  <si>
    <t>Jaccard overlap between two runs’ combined artifact identifier sets: entities, associations, pages, and flows. mean_jaccard averages this over run pairs.</t>
  </si>
  <si>
    <t>Jaccard overlap between recursive page step type sets from two runs.</t>
  </si>
  <si>
    <t>Mean page_step_type_overlap across run pairs.</t>
  </si>
  <si>
    <t>Population variance of entity_count across runs for a dataset.</t>
  </si>
  <si>
    <t>Population variance of page_count across runs.</t>
  </si>
  <si>
    <t>Population variance of microflow_count across runs.</t>
  </si>
  <si>
    <t>Population variance of workflow_count across runs.</t>
  </si>
  <si>
    <t>Population variance of generated_artifact_count across runs.</t>
  </si>
  <si>
    <t>Number of story coverage entries where covered == True.</t>
  </si>
  <si>
    <t>Mean lexicalScore from coverage entries for a run.</t>
  </si>
  <si>
    <t>covered_stories / total_stories.</t>
  </si>
  <si>
    <t>complete_artifacts / evaluated_artifacts.</t>
  </si>
  <si>
    <t>incomplete_artifacts / evaluated_artifacts.</t>
  </si>
  <si>
    <t>run_count</t>
  </si>
  <si>
    <t>validation_pass_rate</t>
  </si>
  <si>
    <t>mendix_app_created_rate</t>
  </si>
  <si>
    <t>mean_entity_count</t>
  </si>
  <si>
    <t>mean_attribute_count</t>
  </si>
  <si>
    <t>mean_association_count</t>
  </si>
  <si>
    <t>mean_enumeration_count</t>
  </si>
  <si>
    <t>mean_page_count</t>
  </si>
  <si>
    <t>mean_microflow_count</t>
  </si>
  <si>
    <t>mean_nanoflow_count</t>
  </si>
  <si>
    <t>mean_workflow_count</t>
  </si>
  <si>
    <t>mean_security_role_count</t>
  </si>
  <si>
    <t>mean_warning_count</t>
  </si>
  <si>
    <t>mean_prompt_tokens</t>
  </si>
  <si>
    <t>mean_output_tokens</t>
  </si>
  <si>
    <t>mean_tokens_per_second</t>
  </si>
  <si>
    <t>llama3.3:70b</t>
  </si>
  <si>
    <t>run-04</t>
  </si>
  <si>
    <t>run-05</t>
  </si>
  <si>
    <t>run-06</t>
  </si>
  <si>
    <t>run-07</t>
  </si>
  <si>
    <t>stage_1_duration_s</t>
  </si>
  <si>
    <t>stage_2_duration_s</t>
  </si>
  <si>
    <t>stage_3_duration_s</t>
  </si>
  <si>
    <t>stage_4_duration_s</t>
  </si>
  <si>
    <t>stage_5_duration_s</t>
  </si>
  <si>
    <t>stage_6_duration_s</t>
  </si>
  <si>
    <t>stage_7_duration_s</t>
  </si>
  <si>
    <t>stage_8_duration_s</t>
  </si>
  <si>
    <t>stage_9_duration_s</t>
  </si>
  <si>
    <t>stage_10_duration_s</t>
  </si>
  <si>
    <t>run-01, run-04, run-05</t>
  </si>
  <si>
    <t>run-01, run-04, run-06</t>
  </si>
  <si>
    <t>run-01, run-06, run-07</t>
  </si>
  <si>
    <t>CE6035</t>
  </si>
  <si>
    <t>Error handling type is not supported</t>
  </si>
  <si>
    <t>ValidateOrderQuantity</t>
  </si>
  <si>
    <t>app_name</t>
  </si>
  <si>
    <t>failed_app_deleted</t>
  </si>
  <si>
    <t>5fbe5cbc-a9c0-44f7-b937-172cfc3a4a1f</t>
  </si>
  <si>
    <t>834d264d-ca03-4ea6-bbd7-4d2f4e7b6441</t>
  </si>
  <si>
    <t>103fb0e5-f7ac-441b-b0b4-9931f6e0d44b</t>
  </si>
  <si>
    <t>ea5b923a-d450-455c-b27f-565f5321f11c</t>
  </si>
  <si>
    <t>e5440373-d25c-4d65-8d71-3bd25f2efbf8</t>
  </si>
  <si>
    <t>633d1551-1a7a-456b-a711-f1cce7d06716</t>
  </si>
  <si>
    <t>56a3fd43-c2d2-4bf4-87a1-7159be58bbeb</t>
  </si>
  <si>
    <t>10a3b8d0-349a-4a1e-a391-bda559347d27</t>
  </si>
  <si>
    <t>95062400-8397-42af-8366-a80488f46c9f</t>
  </si>
  <si>
    <t>50151e52-1776-4806-bc02-af83686bf311</t>
  </si>
  <si>
    <t>6d1c84da-0d90-4786-940f-2821788a985e</t>
  </si>
  <si>
    <t>38a5d68f-4de6-424a-859f-6cea6e962ec9</t>
  </si>
  <si>
    <t>85eaa4ae-fec8-4a55-b620-738278708a2a</t>
  </si>
  <si>
    <t>28bcd9f5-f4b1-4388-bae6-15b50281afa6</t>
  </si>
  <si>
    <t>e655c1d2-dac5-43f2-96f4-c3fdbd7a74da</t>
  </si>
  <si>
    <t>f601c448-3618-4003-900f-dadd7ca8c8f8</t>
  </si>
  <si>
    <t>314ecb3e-e3ba-475a-b969-958055c8e6ce</t>
  </si>
  <si>
    <t>7fb7d840-8e45-4ed2-bd5f-4f24cba204e2</t>
  </si>
  <si>
    <t>9043bd00-2ca9-4ed8-a56e-6cf28a7edf7d</t>
  </si>
  <si>
    <t>e9c8fc1f-da9b-4126-ba54-0d04498a6bbf</t>
  </si>
  <si>
    <t>b27abd94-ce7f-4f6b-bb7b-85272b6e3865</t>
  </si>
  <si>
    <t>6dedb1f2-55bc-48e6-8d3c-994364eb3107</t>
  </si>
  <si>
    <t>7422f6df-a1ed-4b20-86aa-3dc2316c99b0</t>
  </si>
  <si>
    <t>eb33ff58-ed9c-4da4-b4e0-8f8c320c0739</t>
  </si>
  <si>
    <t>a6e36fdc-de8d-448d-bced-a4a4246a94f2</t>
  </si>
  <si>
    <t>Association references missing entities: parent="Employee", child="WorkHour"</t>
  </si>
  <si>
    <t>18ac127a-c107-4505-8473-f0df0dc1fd82</t>
  </si>
  <si>
    <t>c188cb8f-fee8-4c77-b939-f0dd6c45c4ca</t>
  </si>
  <si>
    <t>2b9a66ec-490f-4985-8e47-c06cc62c3388</t>
  </si>
  <si>
    <t>ea3f2f12-49f8-46ec-8e7e-92fa01aaf8e9</t>
  </si>
  <si>
    <t>e37378de-3bc7-4c34-a8b0-432be87c7400</t>
  </si>
  <si>
    <t>79ba5528-40c3-45e0-a0c3-54b510a2d043</t>
  </si>
  <si>
    <t>ac6c82ea-c2fb-412a-9cdb-9090365a76b8</t>
  </si>
  <si>
    <t>3308a861-e7cd-4f95-ac9a-9f95b6ee4d00</t>
  </si>
  <si>
    <t>79402478-21cd-44e4-a392-61dd064c149d</t>
  </si>
  <si>
    <t>7df30b7a-d7fc-4538-8180-825980662b41</t>
  </si>
  <si>
    <t>a8b4c64b-9db1-4085-90c2-59d2f8e163d5</t>
  </si>
  <si>
    <t>b09cc401-539f-44e5-8d12-9258b6f3f906</t>
  </si>
  <si>
    <t>15694b59-047d-425f-b86e-284a50805cf1</t>
  </si>
  <si>
    <t>f9c3f9dd-a2d1-4555-8523-096f7931c497</t>
  </si>
  <si>
    <t>70b4c866-7c66-4c4e-a45e-64e4164f0649</t>
  </si>
  <si>
    <t>18a5f0d8-5c18-4a6c-abf8-db6ea4685ec5</t>
  </si>
  <si>
    <t>23b3bdfd-3e4a-4f49-894f-e9d1baae4850</t>
  </si>
  <si>
    <t>de03900e-5753-453d-8459-11bd6f9ef029</t>
  </si>
  <si>
    <t>fa60aeeb-2366-4e94-a358-1de915a9ca25</t>
  </si>
  <si>
    <t>d6a52bdf-fe8f-4937-8b84-1a7d20e32a9a</t>
  </si>
  <si>
    <t>fa5905f7-5369-460f-81b1-738ad9ca1ec6</t>
  </si>
  <si>
    <t>b1099143-b1e4-48e6-9ff5-e6ef9728b0c1</t>
  </si>
  <si>
    <t>cb161c30-4dd8-43f5-8cc6-8364bc80c8a2</t>
  </si>
  <si>
    <t>c194d8d6-7992-42d8-b392-3595a44b12cc</t>
  </si>
  <si>
    <t>67232fd5-999f-458e-bf43-4b986889eb02</t>
  </si>
  <si>
    <t>21e51990-b6f6-4bfa-a101-f3252faf03e2</t>
  </si>
  <si>
    <t>b41cfac6-c0b5-4a22-8ed9-8888027694af</t>
  </si>
  <si>
    <t>168ca62e-1995-4d47-bbc7-ef5774c0d7b5</t>
  </si>
  <si>
    <t>nanoflow</t>
  </si>
  <si>
    <t>CheckCustomerNotificationPreference</t>
  </si>
  <si>
    <t>Nanoflow — MyFirstModule; Decision ''</t>
  </si>
  <si>
    <t>CE0117</t>
  </si>
  <si>
    <t>Error(s) in expression.</t>
  </si>
  <si>
    <t>CheckCustomerSubscription</t>
  </si>
  <si>
    <t>Microflow — MyFirstModule; Decision ''</t>
  </si>
  <si>
    <t>CancelLessonForCustomer</t>
  </si>
  <si>
    <t>Nanoflow — MyFirstModule; Decision 'Check if subscription is active'</t>
  </si>
  <si>
    <t>SendNotification</t>
  </si>
  <si>
    <t>CheckSubscriptionStatus</t>
  </si>
  <si>
    <t>CheckAutoRenewStatus</t>
  </si>
  <si>
    <t>CheckAutomatedRenewalStatus</t>
  </si>
  <si>
    <t xml:space="preserve">Chosen as main run due to best entity naming and attributes. Other runs were very similar </t>
  </si>
  <si>
    <t>Similar to other plans, little less story driven entity naming</t>
  </si>
  <si>
    <t>Only has 2 associations generated, no attributes for a lot of entities</t>
  </si>
  <si>
    <t xml:space="preserve">Good structure with logical associations. </t>
  </si>
  <si>
    <t xml:space="preserve">Chosen as main run as it is similar to plan 1, but with more story relevant associations and entities. </t>
  </si>
  <si>
    <t>No associations generated.</t>
  </si>
  <si>
    <t xml:space="preserve">Omitted: Did not compile into an app. </t>
  </si>
  <si>
    <t xml:space="preserve">Not very rich entities, lacking attributes. Missing important booking entity. </t>
  </si>
  <si>
    <t xml:space="preserve">Chosen as main run, as it has the richest domain model, and the highest coverage. Still missing Booking. Less micro/nanoflows then other runs. </t>
  </si>
  <si>
    <t xml:space="preserve">Not well connected, only 5 associations between 27 entities. </t>
  </si>
  <si>
    <t xml:space="preserve">Not well connected, only 5 associations between 27 entities. Only module is connected to other entitites. </t>
  </si>
  <si>
    <t xml:space="preserve">Chosen as main run as it is best connected, and covers most of the important story topics. </t>
  </si>
  <si>
    <t>Has many relevant story entities but poor associations.</t>
  </si>
  <si>
    <t xml:space="preserve">Is missing crucial associations, but has good story backed entities. </t>
  </si>
  <si>
    <t xml:space="preserve">Chosen as the main run as it modeled project hierachry correctly, which is important to the stories. </t>
  </si>
  <si>
    <t xml:space="preserve">No associations generated. Chosen as main run due to highest story coverage. </t>
  </si>
  <si>
    <t>App has a single incorrect association</t>
  </si>
  <si>
    <t xml:space="preserve">App has a single incorrect association. Chosen as the main run as it has the richest attributes for the entities. </t>
  </si>
  <si>
    <t xml:space="preserve">App has no associations. </t>
  </si>
  <si>
    <t xml:space="preserve">Chosen as main run as it has strong association and story relevent entities. </t>
  </si>
  <si>
    <t xml:space="preserve">Similar to run 5 but missing important associations. </t>
  </si>
  <si>
    <t>Chosen as the main run as it modeled the domain the best, with relevant entities</t>
  </si>
  <si>
    <t xml:space="preserve">Has a good structure, but misses a product entity. </t>
  </si>
  <si>
    <t xml:space="preserve">Logging failed, no timing available. Has useful concepts, but misses attributes for a lot of entities. </t>
  </si>
  <si>
    <t>generic_entity_count</t>
  </si>
  <si>
    <t>empty_nanoflow_count</t>
  </si>
  <si>
    <t>empty_workflow_count</t>
  </si>
  <si>
    <t>empty page: less than 2 total content or just text label.</t>
  </si>
  <si>
    <t>generic entity: no domain specific attributes, only generic names or placeholders like name/email/isactive. Specific name attributes such as CamperName or GroupName are not counted as empty.</t>
  </si>
  <si>
    <t>generic_page_count</t>
  </si>
  <si>
    <t xml:space="preserve">generic page: page deterministically created by the pipeline (newedit/overview). Collected from generation report warnings </t>
  </si>
  <si>
    <t>generic_empty_artifact_count</t>
  </si>
  <si>
    <t>marked green</t>
  </si>
  <si>
    <t xml:space="preserve">selected as main run to be evaluated in domain comparison and qualitative evaluation. </t>
  </si>
  <si>
    <t>Legend</t>
  </si>
  <si>
    <t>Nanoflow — MyFirstModule; Decision ‘’</t>
  </si>
  <si>
    <t>CheckCamperAttendance</t>
  </si>
  <si>
    <t>CheckKvKNumber</t>
  </si>
  <si>
    <t>artifact types:</t>
  </si>
  <si>
    <t>mean_category_jaccard_1_2</t>
  </si>
  <si>
    <t>mean_category_jaccard_1_3</t>
  </si>
  <si>
    <t>mean_category_jaccard_2_3</t>
  </si>
  <si>
    <t>mean_entity_jaccard</t>
  </si>
  <si>
    <t>mean_association_jaccard</t>
  </si>
  <si>
    <t>mean_page_jaccard</t>
  </si>
  <si>
    <t>mean_flow_jaccard</t>
  </si>
  <si>
    <t>mean_category_jaccard</t>
  </si>
  <si>
    <t>entity_count_cv</t>
  </si>
  <si>
    <t>attribute_count_cv</t>
  </si>
  <si>
    <t>association_count_cv</t>
  </si>
  <si>
    <t>enumeration_count_cv</t>
  </si>
  <si>
    <t>page_count_cv</t>
  </si>
  <si>
    <t>microflow_count_cv</t>
  </si>
  <si>
    <t>nanoflow_count_cv</t>
  </si>
  <si>
    <t>workflow_count_cv</t>
  </si>
  <si>
    <t>security_role_count_cv</t>
  </si>
  <si>
    <t>generated_artifact_count_cv</t>
  </si>
  <si>
    <t>Camperplus</t>
  </si>
  <si>
    <t>rerun-Camperplus-run01</t>
  </si>
  <si>
    <t>rerun-Camperplus-run04</t>
  </si>
  <si>
    <t>rerun-Camperplus-run05</t>
  </si>
  <si>
    <t>Fish&amp;Chips</t>
  </si>
  <si>
    <t>rerun-Fish&amp;Chips-run01</t>
  </si>
  <si>
    <t>rerun-Fish&amp;Chips-run04</t>
  </si>
  <si>
    <t>rerun-Fish&amp;Chips-run06</t>
  </si>
  <si>
    <t>Grocery</t>
  </si>
  <si>
    <t>rerun-Grocery-run01</t>
  </si>
  <si>
    <t>rerun-Grocery-run04</t>
  </si>
  <si>
    <t>rerun-Grocery-run05</t>
  </si>
  <si>
    <t>Sports</t>
  </si>
  <si>
    <t>rerun-Sports-run01</t>
  </si>
  <si>
    <t>rerun-Sports-run04</t>
  </si>
  <si>
    <t>rerun-Sports-run05</t>
  </si>
  <si>
    <t>Education</t>
  </si>
  <si>
    <t>rerun-Education-run01</t>
  </si>
  <si>
    <t>rerun-Education-run02</t>
  </si>
  <si>
    <t>rerun-Education-run03</t>
  </si>
  <si>
    <t>Collaboration</t>
  </si>
  <si>
    <t>rerun-Collaboration-run01</t>
  </si>
  <si>
    <t>rerun-Collaboration-run04</t>
  </si>
  <si>
    <t>rerun-Collaboration-run05</t>
  </si>
  <si>
    <t>Cinema</t>
  </si>
  <si>
    <t>rerun-Cinema-run01</t>
  </si>
  <si>
    <t>rerun-Cinema-run06</t>
  </si>
  <si>
    <t>rerun-Cinema-run07</t>
  </si>
  <si>
    <t>Matching</t>
  </si>
  <si>
    <t>rerun-Matching-run01</t>
  </si>
  <si>
    <t>rerun-Matching-run04</t>
  </si>
  <si>
    <t>rerun-Matching-run05</t>
  </si>
  <si>
    <t>Brewery</t>
  </si>
  <si>
    <t>rerun-Brewery-run01</t>
  </si>
  <si>
    <t>rerun-Brewery-run04</t>
  </si>
  <si>
    <t>rerun-Brewery-run06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</si>
</sst>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2"/>
      <color theme="1"/>
      <name val="Aptos Narrow"/>
      <family val="2"/>
      <scheme val="minor"/>
    </font>
    <font>
      <sz val="13"/>
      <color theme="1"/>
      <name val="Helvetica"/>
      <family val="2"/>
    </font>
    <font>
      <b/>
      <sz val="12"/>
      <color theme="1"/>
      <name val="Aptos Narrow"/>
      <scheme val="minor"/>
    </font>
    <font>
      <b/>
      <sz val="13"/>
      <color theme="1"/>
      <name val="Helvetica"/>
      <family val="2"/>
    </font>
    <font>
      <sz val="12"/>
      <color theme="1"/>
      <name val="Aptos Narrow"/>
      <scheme val="minor"/>
    </font>
    <font>
      <sz val="13"/>
      <color rgb="FF000000"/>
      <name val="Helvetica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wrapText="1"/>
    </xf>
    <xf numFmtId="0" fontId="4" fillId="0" borderId="0" xfId="0" applyFont="1"/>
    <xf numFmtId="3" fontId="4" fillId="0" borderId="0" xfId="0" applyNumberFormat="1" applyFont="1"/>
    <xf numFmtId="11" fontId="4" fillId="0" borderId="0" xfId="0" applyNumberFormat="1" applyFont="1"/>
    <xf numFmtId="3" fontId="2" fillId="0" borderId="0" xfId="0" applyNumberFormat="1" applyFont="1"/>
    <xf numFmtId="0" fontId="1" fillId="2" borderId="0" xfId="0" applyFont="1" applyFill="1"/>
    <xf numFmtId="164" fontId="5" fillId="0" borderId="0" xfId="0" applyNumberFormat="1" applyFon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0" fontId="0" fillId="2" borderId="0" xfId="0" applyFill="1"/>
    <xf numFmtId="0" fontId="8" fillId="0" borderId="0" xfId="0" applyFont="1"/>
    <xf numFmtId="0" fontId="7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8A40-19FA-BE41-8FDC-E283A1F742CA}">
  <dimension ref="A1:J10"/>
  <sheetViews>
    <sheetView zoomScale="120" zoomScaleNormal="120" workbookViewId="0">
      <selection activeCell="I2" sqref="I2"/>
    </sheetView>
  </sheetViews>
  <sheetFormatPr baseColWidth="10" defaultRowHeight="16" x14ac:dyDescent="0.2"/>
  <cols>
    <col min="1" max="1" width="59.1640625" customWidth="1"/>
    <col min="9" max="9" width="12" bestFit="1" customWidth="1"/>
    <col min="10" max="10" width="72.1640625" bestFit="1" customWidth="1"/>
  </cols>
  <sheetData>
    <row r="1" spans="1:10" x14ac:dyDescent="0.2">
      <c r="A1" t="s">
        <v>1</v>
      </c>
    </row>
    <row r="2" spans="1:10" x14ac:dyDescent="0.2">
      <c r="A2" t="s">
        <v>2</v>
      </c>
      <c r="I2" s="3" t="s">
        <v>383</v>
      </c>
    </row>
    <row r="3" spans="1:10" x14ac:dyDescent="0.2">
      <c r="A3" t="s">
        <v>3</v>
      </c>
      <c r="I3" s="17" t="s">
        <v>381</v>
      </c>
      <c r="J3" t="s">
        <v>382</v>
      </c>
    </row>
    <row r="4" spans="1:10" x14ac:dyDescent="0.2">
      <c r="A4" t="s">
        <v>4</v>
      </c>
      <c r="B4" t="s">
        <v>9</v>
      </c>
    </row>
    <row r="5" spans="1:10" x14ac:dyDescent="0.2">
      <c r="A5" t="s">
        <v>5</v>
      </c>
    </row>
    <row r="6" spans="1:10" x14ac:dyDescent="0.2">
      <c r="A6" t="s">
        <v>7</v>
      </c>
    </row>
    <row r="10" spans="1:10" x14ac:dyDescent="0.2">
      <c r="A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C430-4A4F-7B4F-A751-2F2342560F6E}">
  <dimension ref="A1:B84"/>
  <sheetViews>
    <sheetView workbookViewId="0">
      <selection activeCell="B21" sqref="B21"/>
    </sheetView>
  </sheetViews>
  <sheetFormatPr baseColWidth="10" defaultRowHeight="16" x14ac:dyDescent="0.2"/>
  <cols>
    <col min="1" max="1" width="32.5" bestFit="1" customWidth="1"/>
    <col min="2" max="2" width="149.6640625" bestFit="1" customWidth="1"/>
  </cols>
  <sheetData>
    <row r="1" spans="1:2" x14ac:dyDescent="0.2">
      <c r="A1" s="3" t="s">
        <v>151</v>
      </c>
      <c r="B1" s="3" t="s">
        <v>152</v>
      </c>
    </row>
    <row r="2" spans="1:2" x14ac:dyDescent="0.2">
      <c r="A2" s="8" t="s">
        <v>8</v>
      </c>
      <c r="B2" t="s">
        <v>178</v>
      </c>
    </row>
    <row r="3" spans="1:2" x14ac:dyDescent="0.2">
      <c r="A3" s="8" t="s">
        <v>10</v>
      </c>
      <c r="B3" t="s">
        <v>179</v>
      </c>
    </row>
    <row r="4" spans="1:2" x14ac:dyDescent="0.2">
      <c r="A4" s="8" t="s">
        <v>12</v>
      </c>
      <c r="B4" t="s">
        <v>180</v>
      </c>
    </row>
    <row r="5" spans="1:2" x14ac:dyDescent="0.2">
      <c r="A5" s="8" t="s">
        <v>13</v>
      </c>
      <c r="B5" t="s">
        <v>181</v>
      </c>
    </row>
    <row r="6" spans="1:2" x14ac:dyDescent="0.2">
      <c r="A6" s="8" t="s">
        <v>14</v>
      </c>
      <c r="B6" t="s">
        <v>182</v>
      </c>
    </row>
    <row r="7" spans="1:2" x14ac:dyDescent="0.2">
      <c r="A7" s="8" t="s">
        <v>15</v>
      </c>
      <c r="B7" t="s">
        <v>183</v>
      </c>
    </row>
    <row r="8" spans="1:2" x14ac:dyDescent="0.2">
      <c r="A8" s="8" t="s">
        <v>16</v>
      </c>
      <c r="B8" t="s">
        <v>184</v>
      </c>
    </row>
    <row r="9" spans="1:2" x14ac:dyDescent="0.2">
      <c r="A9" s="8" t="s">
        <v>17</v>
      </c>
      <c r="B9" t="s">
        <v>153</v>
      </c>
    </row>
    <row r="10" spans="1:2" x14ac:dyDescent="0.2">
      <c r="A10" s="8" t="s">
        <v>18</v>
      </c>
      <c r="B10" t="s">
        <v>185</v>
      </c>
    </row>
    <row r="11" spans="1:2" x14ac:dyDescent="0.2">
      <c r="A11" s="8" t="s">
        <v>19</v>
      </c>
      <c r="B11" t="s">
        <v>154</v>
      </c>
    </row>
    <row r="12" spans="1:2" x14ac:dyDescent="0.2">
      <c r="A12" s="8" t="s">
        <v>20</v>
      </c>
      <c r="B12" t="s">
        <v>186</v>
      </c>
    </row>
    <row r="13" spans="1:2" x14ac:dyDescent="0.2">
      <c r="A13" s="8" t="s">
        <v>64</v>
      </c>
      <c r="B13" t="s">
        <v>187</v>
      </c>
    </row>
    <row r="14" spans="1:2" x14ac:dyDescent="0.2">
      <c r="A14" s="8" t="s">
        <v>21</v>
      </c>
      <c r="B14" t="s">
        <v>188</v>
      </c>
    </row>
    <row r="15" spans="1:2" x14ac:dyDescent="0.2">
      <c r="A15" s="8" t="s">
        <v>22</v>
      </c>
      <c r="B15" t="s">
        <v>189</v>
      </c>
    </row>
    <row r="16" spans="1:2" x14ac:dyDescent="0.2">
      <c r="A16" s="8" t="s">
        <v>148</v>
      </c>
      <c r="B16" t="s">
        <v>190</v>
      </c>
    </row>
    <row r="17" spans="1:2" x14ac:dyDescent="0.2">
      <c r="A17" s="8" t="s">
        <v>23</v>
      </c>
      <c r="B17" t="s">
        <v>191</v>
      </c>
    </row>
    <row r="18" spans="1:2" x14ac:dyDescent="0.2">
      <c r="A18" s="8" t="s">
        <v>24</v>
      </c>
      <c r="B18" t="s">
        <v>192</v>
      </c>
    </row>
    <row r="19" spans="1:2" x14ac:dyDescent="0.2">
      <c r="A19" s="8" t="s">
        <v>25</v>
      </c>
      <c r="B19" t="s">
        <v>193</v>
      </c>
    </row>
    <row r="20" spans="1:2" x14ac:dyDescent="0.2">
      <c r="A20" s="8" t="s">
        <v>26</v>
      </c>
      <c r="B20" t="s">
        <v>155</v>
      </c>
    </row>
    <row r="21" spans="1:2" x14ac:dyDescent="0.2">
      <c r="A21" s="8" t="s">
        <v>129</v>
      </c>
      <c r="B21" t="s">
        <v>156</v>
      </c>
    </row>
    <row r="22" spans="1:2" x14ac:dyDescent="0.2">
      <c r="A22" s="8" t="s">
        <v>130</v>
      </c>
      <c r="B22" t="s">
        <v>194</v>
      </c>
    </row>
    <row r="23" spans="1:2" x14ac:dyDescent="0.2">
      <c r="A23" s="8" t="s">
        <v>131</v>
      </c>
      <c r="B23" t="s">
        <v>157</v>
      </c>
    </row>
    <row r="24" spans="1:2" x14ac:dyDescent="0.2">
      <c r="A24" s="8" t="s">
        <v>132</v>
      </c>
      <c r="B24" t="s">
        <v>195</v>
      </c>
    </row>
    <row r="25" spans="1:2" x14ac:dyDescent="0.2">
      <c r="A25" s="8" t="s">
        <v>133</v>
      </c>
      <c r="B25" t="s">
        <v>196</v>
      </c>
    </row>
    <row r="26" spans="1:2" x14ac:dyDescent="0.2">
      <c r="A26" s="8" t="s">
        <v>103</v>
      </c>
      <c r="B26" t="s">
        <v>158</v>
      </c>
    </row>
    <row r="27" spans="1:2" x14ac:dyDescent="0.2">
      <c r="A27" s="8" t="s">
        <v>104</v>
      </c>
      <c r="B27" t="s">
        <v>159</v>
      </c>
    </row>
    <row r="28" spans="1:2" x14ac:dyDescent="0.2">
      <c r="A28" s="8" t="s">
        <v>105</v>
      </c>
      <c r="B28" t="s">
        <v>160</v>
      </c>
    </row>
    <row r="29" spans="1:2" x14ac:dyDescent="0.2">
      <c r="A29" s="8" t="s">
        <v>106</v>
      </c>
      <c r="B29" t="s">
        <v>197</v>
      </c>
    </row>
    <row r="30" spans="1:2" x14ac:dyDescent="0.2">
      <c r="A30" s="8" t="s">
        <v>27</v>
      </c>
      <c r="B30" t="s">
        <v>198</v>
      </c>
    </row>
    <row r="31" spans="1:2" x14ac:dyDescent="0.2">
      <c r="A31" s="8" t="s">
        <v>28</v>
      </c>
      <c r="B31" t="s">
        <v>199</v>
      </c>
    </row>
    <row r="32" spans="1:2" x14ac:dyDescent="0.2">
      <c r="A32" s="8" t="s">
        <v>65</v>
      </c>
      <c r="B32" t="s">
        <v>200</v>
      </c>
    </row>
    <row r="33" spans="1:2" x14ac:dyDescent="0.2">
      <c r="A33" s="8" t="s">
        <v>66</v>
      </c>
      <c r="B33" t="s">
        <v>201</v>
      </c>
    </row>
    <row r="34" spans="1:2" x14ac:dyDescent="0.2">
      <c r="A34" s="8" t="s">
        <v>67</v>
      </c>
      <c r="B34" t="s">
        <v>202</v>
      </c>
    </row>
    <row r="35" spans="1:2" x14ac:dyDescent="0.2">
      <c r="A35" s="8" t="s">
        <v>68</v>
      </c>
      <c r="B35" t="s">
        <v>203</v>
      </c>
    </row>
    <row r="36" spans="1:2" x14ac:dyDescent="0.2">
      <c r="A36" s="8" t="s">
        <v>69</v>
      </c>
      <c r="B36" t="s">
        <v>204</v>
      </c>
    </row>
    <row r="37" spans="1:2" x14ac:dyDescent="0.2">
      <c r="A37" s="8" t="s">
        <v>71</v>
      </c>
      <c r="B37" t="s">
        <v>205</v>
      </c>
    </row>
    <row r="38" spans="1:2" x14ac:dyDescent="0.2">
      <c r="A38" s="8" t="s">
        <v>72</v>
      </c>
      <c r="B38" t="s">
        <v>206</v>
      </c>
    </row>
    <row r="39" spans="1:2" x14ac:dyDescent="0.2">
      <c r="A39" s="8" t="s">
        <v>73</v>
      </c>
      <c r="B39" t="s">
        <v>207</v>
      </c>
    </row>
    <row r="40" spans="1:2" x14ac:dyDescent="0.2">
      <c r="A40" s="8" t="s">
        <v>30</v>
      </c>
      <c r="B40" t="s">
        <v>208</v>
      </c>
    </row>
    <row r="41" spans="1:2" x14ac:dyDescent="0.2">
      <c r="A41" s="8" t="s">
        <v>31</v>
      </c>
      <c r="B41" t="s">
        <v>209</v>
      </c>
    </row>
    <row r="42" spans="1:2" x14ac:dyDescent="0.2">
      <c r="A42" s="8" t="s">
        <v>32</v>
      </c>
      <c r="B42" t="s">
        <v>210</v>
      </c>
    </row>
    <row r="43" spans="1:2" x14ac:dyDescent="0.2">
      <c r="A43" s="8" t="s">
        <v>33</v>
      </c>
      <c r="B43" t="s">
        <v>211</v>
      </c>
    </row>
    <row r="44" spans="1:2" x14ac:dyDescent="0.2">
      <c r="A44" s="8" t="s">
        <v>34</v>
      </c>
      <c r="B44" t="s">
        <v>212</v>
      </c>
    </row>
    <row r="45" spans="1:2" x14ac:dyDescent="0.2">
      <c r="A45" s="8" t="s">
        <v>35</v>
      </c>
      <c r="B45" t="s">
        <v>213</v>
      </c>
    </row>
    <row r="46" spans="1:2" x14ac:dyDescent="0.2">
      <c r="A46" s="8" t="s">
        <v>36</v>
      </c>
      <c r="B46" t="s">
        <v>214</v>
      </c>
    </row>
    <row r="47" spans="1:2" x14ac:dyDescent="0.2">
      <c r="A47" s="8" t="s">
        <v>134</v>
      </c>
      <c r="B47" t="s">
        <v>215</v>
      </c>
    </row>
    <row r="48" spans="1:2" x14ac:dyDescent="0.2">
      <c r="A48" s="8" t="s">
        <v>135</v>
      </c>
      <c r="B48" t="s">
        <v>216</v>
      </c>
    </row>
    <row r="49" spans="1:2" x14ac:dyDescent="0.2">
      <c r="A49" s="8" t="s">
        <v>136</v>
      </c>
      <c r="B49" t="s">
        <v>217</v>
      </c>
    </row>
    <row r="50" spans="1:2" x14ac:dyDescent="0.2">
      <c r="A50" s="8" t="s">
        <v>137</v>
      </c>
      <c r="B50" t="s">
        <v>218</v>
      </c>
    </row>
    <row r="51" spans="1:2" x14ac:dyDescent="0.2">
      <c r="A51" s="8" t="s">
        <v>150</v>
      </c>
      <c r="B51" t="s">
        <v>219</v>
      </c>
    </row>
    <row r="52" spans="1:2" x14ac:dyDescent="0.2">
      <c r="A52" s="8" t="s">
        <v>138</v>
      </c>
      <c r="B52" t="s">
        <v>220</v>
      </c>
    </row>
    <row r="53" spans="1:2" x14ac:dyDescent="0.2">
      <c r="A53" s="8" t="s">
        <v>139</v>
      </c>
      <c r="B53" t="s">
        <v>221</v>
      </c>
    </row>
    <row r="54" spans="1:2" x14ac:dyDescent="0.2">
      <c r="A54" s="8" t="s">
        <v>140</v>
      </c>
      <c r="B54" t="s">
        <v>222</v>
      </c>
    </row>
    <row r="55" spans="1:2" x14ac:dyDescent="0.2">
      <c r="A55" s="8" t="s">
        <v>141</v>
      </c>
      <c r="B55" t="s">
        <v>223</v>
      </c>
    </row>
    <row r="56" spans="1:2" x14ac:dyDescent="0.2">
      <c r="A56" s="8" t="s">
        <v>37</v>
      </c>
      <c r="B56" t="s">
        <v>161</v>
      </c>
    </row>
    <row r="57" spans="1:2" x14ac:dyDescent="0.2">
      <c r="A57" s="8" t="s">
        <v>38</v>
      </c>
      <c r="B57" t="s">
        <v>162</v>
      </c>
    </row>
    <row r="58" spans="1:2" x14ac:dyDescent="0.2">
      <c r="A58" s="8" t="s">
        <v>76</v>
      </c>
      <c r="B58" t="s">
        <v>224</v>
      </c>
    </row>
    <row r="59" spans="1:2" x14ac:dyDescent="0.2">
      <c r="A59" s="8" t="s">
        <v>142</v>
      </c>
      <c r="B59" t="s">
        <v>225</v>
      </c>
    </row>
    <row r="60" spans="1:2" x14ac:dyDescent="0.2">
      <c r="A60" s="8" t="s">
        <v>143</v>
      </c>
      <c r="B60" t="s">
        <v>226</v>
      </c>
    </row>
    <row r="61" spans="1:2" x14ac:dyDescent="0.2">
      <c r="A61" s="8" t="s">
        <v>144</v>
      </c>
      <c r="B61" t="s">
        <v>227</v>
      </c>
    </row>
    <row r="62" spans="1:2" x14ac:dyDescent="0.2">
      <c r="A62" s="8" t="s">
        <v>163</v>
      </c>
      <c r="B62" t="s">
        <v>228</v>
      </c>
    </row>
    <row r="63" spans="1:2" x14ac:dyDescent="0.2">
      <c r="A63" s="8" t="s">
        <v>56</v>
      </c>
      <c r="B63" t="s">
        <v>164</v>
      </c>
    </row>
    <row r="64" spans="1:2" x14ac:dyDescent="0.2">
      <c r="A64" s="8" t="s">
        <v>229</v>
      </c>
      <c r="B64" t="s">
        <v>230</v>
      </c>
    </row>
    <row r="65" spans="1:2" x14ac:dyDescent="0.2">
      <c r="A65" s="8" t="s">
        <v>165</v>
      </c>
      <c r="B65" t="s">
        <v>166</v>
      </c>
    </row>
    <row r="66" spans="1:2" x14ac:dyDescent="0.2">
      <c r="A66" s="8" t="s">
        <v>167</v>
      </c>
      <c r="B66" t="s">
        <v>168</v>
      </c>
    </row>
    <row r="67" spans="1:2" x14ac:dyDescent="0.2">
      <c r="A67" s="8" t="s">
        <v>169</v>
      </c>
      <c r="B67" t="s">
        <v>170</v>
      </c>
    </row>
    <row r="68" spans="1:2" x14ac:dyDescent="0.2">
      <c r="A68" s="8" t="s">
        <v>171</v>
      </c>
      <c r="B68" t="s">
        <v>172</v>
      </c>
    </row>
    <row r="69" spans="1:2" x14ac:dyDescent="0.2">
      <c r="A69" s="8" t="s">
        <v>173</v>
      </c>
      <c r="B69" t="s">
        <v>231</v>
      </c>
    </row>
    <row r="70" spans="1:2" x14ac:dyDescent="0.2">
      <c r="A70" s="8" t="s">
        <v>57</v>
      </c>
      <c r="B70" t="s">
        <v>232</v>
      </c>
    </row>
    <row r="71" spans="1:2" x14ac:dyDescent="0.2">
      <c r="A71" s="8" t="s">
        <v>58</v>
      </c>
      <c r="B71" t="s">
        <v>233</v>
      </c>
    </row>
    <row r="72" spans="1:2" x14ac:dyDescent="0.2">
      <c r="A72" s="8" t="s">
        <v>59</v>
      </c>
      <c r="B72" t="s">
        <v>234</v>
      </c>
    </row>
    <row r="73" spans="1:2" x14ac:dyDescent="0.2">
      <c r="A73" s="8" t="s">
        <v>60</v>
      </c>
      <c r="B73" t="s">
        <v>235</v>
      </c>
    </row>
    <row r="74" spans="1:2" x14ac:dyDescent="0.2">
      <c r="A74" s="8" t="s">
        <v>61</v>
      </c>
      <c r="B74" t="s">
        <v>236</v>
      </c>
    </row>
    <row r="75" spans="1:2" x14ac:dyDescent="0.2">
      <c r="A75" s="8" t="s">
        <v>62</v>
      </c>
      <c r="B75" t="s">
        <v>237</v>
      </c>
    </row>
    <row r="76" spans="1:2" x14ac:dyDescent="0.2">
      <c r="A76" s="8" t="s">
        <v>78</v>
      </c>
      <c r="B76" t="s">
        <v>238</v>
      </c>
    </row>
    <row r="77" spans="1:2" x14ac:dyDescent="0.2">
      <c r="A77" s="8" t="s">
        <v>79</v>
      </c>
      <c r="B77" t="s">
        <v>174</v>
      </c>
    </row>
    <row r="78" spans="1:2" x14ac:dyDescent="0.2">
      <c r="A78" s="8" t="s">
        <v>80</v>
      </c>
      <c r="B78" t="s">
        <v>239</v>
      </c>
    </row>
    <row r="79" spans="1:2" x14ac:dyDescent="0.2">
      <c r="A79" s="8" t="s">
        <v>81</v>
      </c>
      <c r="B79" t="s">
        <v>240</v>
      </c>
    </row>
    <row r="80" spans="1:2" x14ac:dyDescent="0.2">
      <c r="A80" s="8" t="s">
        <v>124</v>
      </c>
      <c r="B80" t="s">
        <v>175</v>
      </c>
    </row>
    <row r="81" spans="1:2" x14ac:dyDescent="0.2">
      <c r="A81" s="8" t="s">
        <v>125</v>
      </c>
      <c r="B81" t="s">
        <v>176</v>
      </c>
    </row>
    <row r="82" spans="1:2" x14ac:dyDescent="0.2">
      <c r="A82" s="8" t="s">
        <v>126</v>
      </c>
      <c r="B82" t="s">
        <v>177</v>
      </c>
    </row>
    <row r="83" spans="1:2" x14ac:dyDescent="0.2">
      <c r="A83" s="8" t="s">
        <v>127</v>
      </c>
      <c r="B83" t="s">
        <v>241</v>
      </c>
    </row>
    <row r="84" spans="1:2" x14ac:dyDescent="0.2">
      <c r="A84" s="8" t="s">
        <v>128</v>
      </c>
      <c r="B84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F789-EC57-9E4E-A87D-9DA740051AB8}">
  <dimension ref="A1:AT28"/>
  <sheetViews>
    <sheetView zoomScale="125" zoomScaleNormal="100" workbookViewId="0">
      <pane xSplit="3800" topLeftCell="T1"/>
      <selection activeCell="A26" sqref="A26"/>
      <selection pane="topRight" activeCell="O4" sqref="A4:O4"/>
    </sheetView>
  </sheetViews>
  <sheetFormatPr baseColWidth="10" defaultColWidth="21.5" defaultRowHeight="16" x14ac:dyDescent="0.2"/>
  <cols>
    <col min="15" max="15" width="27" bestFit="1" customWidth="1"/>
    <col min="16" max="16" width="24.33203125" bestFit="1" customWidth="1"/>
    <col min="17" max="17" width="22.33203125" bestFit="1" customWidth="1"/>
  </cols>
  <sheetData>
    <row r="1" spans="1:46" ht="17" x14ac:dyDescent="0.2">
      <c r="A1" s="4" t="s">
        <v>0</v>
      </c>
      <c r="B1" s="4" t="s">
        <v>6</v>
      </c>
      <c r="C1" s="4" t="s">
        <v>10</v>
      </c>
      <c r="D1" s="4" t="s">
        <v>12</v>
      </c>
      <c r="E1" s="4" t="s">
        <v>13</v>
      </c>
      <c r="F1" s="4" t="s">
        <v>18</v>
      </c>
      <c r="G1" s="4" t="s">
        <v>19</v>
      </c>
      <c r="H1" s="4" t="s">
        <v>20</v>
      </c>
      <c r="I1" s="4" t="s">
        <v>64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380</v>
      </c>
      <c r="Q1" s="4" t="s">
        <v>133</v>
      </c>
      <c r="R1" s="4" t="s">
        <v>373</v>
      </c>
      <c r="S1" s="4" t="s">
        <v>132</v>
      </c>
      <c r="T1" s="4" t="s">
        <v>378</v>
      </c>
      <c r="U1" s="4" t="s">
        <v>148</v>
      </c>
      <c r="V1" s="4" t="s">
        <v>374</v>
      </c>
      <c r="W1" s="4" t="s">
        <v>375</v>
      </c>
      <c r="X1" s="4" t="s">
        <v>27</v>
      </c>
      <c r="Y1" s="4" t="s">
        <v>28</v>
      </c>
      <c r="Z1" s="4" t="s">
        <v>65</v>
      </c>
      <c r="AA1" s="4" t="s">
        <v>66</v>
      </c>
      <c r="AB1" s="4" t="s">
        <v>67</v>
      </c>
      <c r="AC1" s="4" t="s">
        <v>68</v>
      </c>
      <c r="AD1" s="4" t="s">
        <v>69</v>
      </c>
      <c r="AE1" s="4" t="s">
        <v>70</v>
      </c>
      <c r="AF1" s="4" t="s">
        <v>71</v>
      </c>
      <c r="AG1" s="4" t="s">
        <v>72</v>
      </c>
      <c r="AH1" s="4" t="s">
        <v>73</v>
      </c>
      <c r="AI1" s="4" t="s">
        <v>264</v>
      </c>
      <c r="AJ1" s="4" t="s">
        <v>265</v>
      </c>
      <c r="AK1" s="4" t="s">
        <v>266</v>
      </c>
      <c r="AL1" s="4" t="s">
        <v>267</v>
      </c>
      <c r="AM1" s="4" t="s">
        <v>268</v>
      </c>
      <c r="AN1" s="4" t="s">
        <v>269</v>
      </c>
      <c r="AO1" s="4" t="s">
        <v>270</v>
      </c>
      <c r="AP1" s="4" t="s">
        <v>271</v>
      </c>
      <c r="AQ1" s="4" t="s">
        <v>272</v>
      </c>
      <c r="AR1" s="4" t="s">
        <v>273</v>
      </c>
      <c r="AS1" s="4" t="s">
        <v>29</v>
      </c>
    </row>
    <row r="2" spans="1:46" ht="17" x14ac:dyDescent="0.2">
      <c r="A2" s="1" t="s">
        <v>406</v>
      </c>
      <c r="B2" s="1" t="s">
        <v>63</v>
      </c>
      <c r="C2" s="1" t="b">
        <v>1</v>
      </c>
      <c r="D2" s="1" t="b">
        <v>1</v>
      </c>
      <c r="E2" s="1">
        <v>845.3</v>
      </c>
      <c r="F2" s="1">
        <v>30</v>
      </c>
      <c r="G2" s="1">
        <v>62</v>
      </c>
      <c r="H2" s="1">
        <v>12</v>
      </c>
      <c r="I2" s="1">
        <v>0</v>
      </c>
      <c r="J2" s="1">
        <v>69</v>
      </c>
      <c r="K2" s="1">
        <v>3</v>
      </c>
      <c r="L2" s="1">
        <v>1</v>
      </c>
      <c r="M2" s="1">
        <v>0</v>
      </c>
      <c r="N2" s="1">
        <v>4</v>
      </c>
      <c r="O2" s="1">
        <v>181</v>
      </c>
      <c r="P2" s="1">
        <f>SUM(J2,K2,L2,M2,N2)</f>
        <v>77</v>
      </c>
      <c r="Q2" s="1">
        <f>P2/R2</f>
        <v>12.833333333333334</v>
      </c>
      <c r="R2" s="1">
        <v>6</v>
      </c>
      <c r="S2" s="1">
        <v>8</v>
      </c>
      <c r="T2">
        <v>93</v>
      </c>
      <c r="U2" s="1">
        <v>0</v>
      </c>
      <c r="V2" s="1">
        <v>0</v>
      </c>
      <c r="W2" t="s">
        <v>149</v>
      </c>
      <c r="X2" s="1">
        <v>2</v>
      </c>
      <c r="Y2" s="1">
        <v>1.1050000000000001E-2</v>
      </c>
      <c r="Z2" s="1">
        <v>0.690909</v>
      </c>
      <c r="AA2" s="1">
        <v>38</v>
      </c>
      <c r="AB2" s="1">
        <v>55</v>
      </c>
      <c r="AC2" s="1">
        <v>17</v>
      </c>
      <c r="AD2" s="1">
        <v>178</v>
      </c>
      <c r="AE2" s="1" t="s">
        <v>259</v>
      </c>
      <c r="AF2" s="1">
        <v>5525</v>
      </c>
      <c r="AG2" s="1">
        <v>418</v>
      </c>
      <c r="AH2" s="1">
        <v>12.258065</v>
      </c>
      <c r="AI2" s="1">
        <v>0</v>
      </c>
      <c r="AJ2" s="1">
        <v>0</v>
      </c>
      <c r="AK2" s="1">
        <v>0</v>
      </c>
      <c r="AL2" s="1">
        <v>0</v>
      </c>
      <c r="AM2" s="1">
        <v>34.1</v>
      </c>
      <c r="AN2" s="1">
        <v>456.8</v>
      </c>
      <c r="AO2" s="1">
        <v>184.1</v>
      </c>
      <c r="AP2" s="1">
        <v>170.3</v>
      </c>
      <c r="AQ2" s="1">
        <v>0</v>
      </c>
      <c r="AR2" s="1">
        <v>0</v>
      </c>
      <c r="AS2" s="1" t="s">
        <v>350</v>
      </c>
      <c r="AT2" s="1"/>
    </row>
    <row r="3" spans="1:46" ht="17" x14ac:dyDescent="0.2">
      <c r="A3" s="1" t="s">
        <v>406</v>
      </c>
      <c r="B3" s="1" t="s">
        <v>260</v>
      </c>
      <c r="C3" s="1" t="b">
        <v>1</v>
      </c>
      <c r="D3" s="1" t="b">
        <v>1</v>
      </c>
      <c r="E3" s="1">
        <v>800.9</v>
      </c>
      <c r="F3" s="1">
        <v>30</v>
      </c>
      <c r="G3" s="1">
        <v>62</v>
      </c>
      <c r="H3" s="1">
        <v>12</v>
      </c>
      <c r="I3" s="1">
        <v>0</v>
      </c>
      <c r="J3" s="1">
        <v>67</v>
      </c>
      <c r="K3" s="1">
        <v>3</v>
      </c>
      <c r="L3" s="1">
        <v>1</v>
      </c>
      <c r="M3" s="1">
        <v>0</v>
      </c>
      <c r="N3" s="1">
        <v>4</v>
      </c>
      <c r="O3" s="1">
        <v>179</v>
      </c>
      <c r="P3" s="1">
        <f t="shared" ref="P3:P13" si="0">SUM(J3,K3,L3,M3,N3)</f>
        <v>75</v>
      </c>
      <c r="Q3" s="1">
        <f t="shared" ref="Q3:Q28" si="1">P3/R3</f>
        <v>12.5</v>
      </c>
      <c r="R3" s="1">
        <v>6</v>
      </c>
      <c r="S3" s="1">
        <v>6</v>
      </c>
      <c r="T3">
        <v>93</v>
      </c>
      <c r="U3" s="1">
        <v>0</v>
      </c>
      <c r="V3" s="1">
        <v>0</v>
      </c>
      <c r="W3" t="s">
        <v>149</v>
      </c>
      <c r="X3" s="1">
        <v>2</v>
      </c>
      <c r="Y3" s="1">
        <v>1.1173000000000001E-2</v>
      </c>
      <c r="Z3" s="1">
        <v>0.690909</v>
      </c>
      <c r="AA3" s="1">
        <v>38</v>
      </c>
      <c r="AB3" s="1">
        <v>55</v>
      </c>
      <c r="AC3" s="1">
        <v>17</v>
      </c>
      <c r="AD3" s="1">
        <v>176</v>
      </c>
      <c r="AE3" s="1" t="s">
        <v>259</v>
      </c>
      <c r="AF3" s="1">
        <v>5525</v>
      </c>
      <c r="AG3" s="1">
        <v>418</v>
      </c>
      <c r="AH3" s="1">
        <v>12.403561</v>
      </c>
      <c r="AI3" s="1">
        <v>0</v>
      </c>
      <c r="AJ3" s="1">
        <v>0</v>
      </c>
      <c r="AK3" s="1">
        <v>0</v>
      </c>
      <c r="AL3" s="1">
        <v>0</v>
      </c>
      <c r="AM3" s="1">
        <v>33.700000000000003</v>
      </c>
      <c r="AN3" s="1">
        <v>458.5</v>
      </c>
      <c r="AO3" s="1">
        <v>175.5</v>
      </c>
      <c r="AP3" s="1">
        <v>133.19999999999999</v>
      </c>
      <c r="AQ3" s="1">
        <v>0</v>
      </c>
      <c r="AR3" s="1">
        <v>0</v>
      </c>
      <c r="AS3" s="1" t="s">
        <v>350</v>
      </c>
      <c r="AT3" s="1"/>
    </row>
    <row r="4" spans="1:46" s="17" customFormat="1" ht="17" x14ac:dyDescent="0.2">
      <c r="A4" s="12" t="s">
        <v>406</v>
      </c>
      <c r="B4" s="12" t="s">
        <v>261</v>
      </c>
      <c r="C4" s="12" t="b">
        <v>1</v>
      </c>
      <c r="D4" s="12" t="b">
        <v>1</v>
      </c>
      <c r="E4" s="12">
        <v>809.5</v>
      </c>
      <c r="F4" s="12">
        <v>29</v>
      </c>
      <c r="G4" s="12">
        <v>60</v>
      </c>
      <c r="H4" s="12">
        <v>13</v>
      </c>
      <c r="I4" s="12">
        <v>0</v>
      </c>
      <c r="J4" s="12">
        <v>67</v>
      </c>
      <c r="K4" s="12">
        <v>3</v>
      </c>
      <c r="L4" s="12">
        <v>1</v>
      </c>
      <c r="M4" s="12">
        <v>0</v>
      </c>
      <c r="N4" s="12">
        <v>4</v>
      </c>
      <c r="O4" s="12">
        <v>177</v>
      </c>
      <c r="P4" s="1">
        <f t="shared" si="0"/>
        <v>75</v>
      </c>
      <c r="Q4" s="1">
        <f t="shared" si="1"/>
        <v>12.5</v>
      </c>
      <c r="R4" s="12">
        <v>6</v>
      </c>
      <c r="S4" s="12">
        <v>8</v>
      </c>
      <c r="T4" s="17">
        <v>94</v>
      </c>
      <c r="U4" s="12">
        <v>0</v>
      </c>
      <c r="V4" s="12">
        <v>0</v>
      </c>
      <c r="W4" s="17" t="s">
        <v>149</v>
      </c>
      <c r="X4" s="12">
        <v>2</v>
      </c>
      <c r="Y4" s="12">
        <v>1.1299E-2</v>
      </c>
      <c r="Z4" s="12">
        <v>0.6</v>
      </c>
      <c r="AA4" s="12">
        <v>33</v>
      </c>
      <c r="AB4" s="12">
        <v>55</v>
      </c>
      <c r="AC4" s="12">
        <v>22</v>
      </c>
      <c r="AD4" s="12">
        <v>186</v>
      </c>
      <c r="AE4" s="12" t="s">
        <v>259</v>
      </c>
      <c r="AF4" s="12">
        <v>5525</v>
      </c>
      <c r="AG4" s="12">
        <v>418</v>
      </c>
      <c r="AH4" s="12">
        <v>12.366864</v>
      </c>
      <c r="AI4" s="12">
        <v>0</v>
      </c>
      <c r="AJ4" s="12">
        <v>0</v>
      </c>
      <c r="AK4" s="12">
        <v>0</v>
      </c>
      <c r="AL4" s="12">
        <v>0</v>
      </c>
      <c r="AM4" s="12">
        <v>33.799999999999997</v>
      </c>
      <c r="AN4" s="12">
        <v>459.2</v>
      </c>
      <c r="AO4" s="12">
        <v>148.5</v>
      </c>
      <c r="AP4" s="12">
        <v>167.9</v>
      </c>
      <c r="AQ4" s="12">
        <v>0.1</v>
      </c>
      <c r="AR4" s="12">
        <v>0</v>
      </c>
      <c r="AS4" s="12" t="s">
        <v>349</v>
      </c>
      <c r="AT4" s="12"/>
    </row>
    <row r="5" spans="1:46" ht="17" x14ac:dyDescent="0.2">
      <c r="A5" s="1" t="s">
        <v>410</v>
      </c>
      <c r="B5" s="1" t="s">
        <v>63</v>
      </c>
      <c r="C5" s="1" t="b">
        <v>1</v>
      </c>
      <c r="D5" s="1" t="b">
        <v>1</v>
      </c>
      <c r="E5" s="1">
        <v>714.2</v>
      </c>
      <c r="F5" s="1">
        <v>28</v>
      </c>
      <c r="G5" s="1">
        <v>57</v>
      </c>
      <c r="H5" s="1">
        <v>12</v>
      </c>
      <c r="I5" s="1">
        <v>0</v>
      </c>
      <c r="J5" s="1">
        <v>66</v>
      </c>
      <c r="K5" s="1">
        <v>3</v>
      </c>
      <c r="L5" s="1">
        <v>1</v>
      </c>
      <c r="M5" s="1">
        <v>0</v>
      </c>
      <c r="N5" s="1">
        <v>7</v>
      </c>
      <c r="O5" s="1">
        <v>174</v>
      </c>
      <c r="P5" s="1">
        <f t="shared" si="0"/>
        <v>77</v>
      </c>
      <c r="Q5" s="1">
        <f t="shared" si="1"/>
        <v>3.85</v>
      </c>
      <c r="R5" s="1">
        <v>20</v>
      </c>
      <c r="S5" s="1">
        <v>8</v>
      </c>
      <c r="T5">
        <v>80</v>
      </c>
      <c r="U5" s="1">
        <v>0</v>
      </c>
      <c r="V5" s="1">
        <v>0</v>
      </c>
      <c r="W5" t="s">
        <v>149</v>
      </c>
      <c r="X5" s="1">
        <v>0</v>
      </c>
      <c r="Y5" s="1">
        <v>0</v>
      </c>
      <c r="Z5" s="1">
        <v>0.8</v>
      </c>
      <c r="AA5" s="1">
        <v>40</v>
      </c>
      <c r="AB5" s="1">
        <v>50</v>
      </c>
      <c r="AC5" s="1">
        <v>10</v>
      </c>
      <c r="AD5" s="1">
        <v>177</v>
      </c>
      <c r="AE5" s="1" t="s">
        <v>259</v>
      </c>
      <c r="AF5" s="1">
        <v>5916</v>
      </c>
      <c r="AG5" s="1">
        <v>233</v>
      </c>
      <c r="AH5" s="1">
        <v>10.639269000000001</v>
      </c>
      <c r="AI5" s="1">
        <v>0</v>
      </c>
      <c r="AJ5" s="1">
        <v>0</v>
      </c>
      <c r="AK5" s="1">
        <v>0</v>
      </c>
      <c r="AL5" s="1">
        <v>0</v>
      </c>
      <c r="AM5" s="1">
        <v>21.9</v>
      </c>
      <c r="AN5" s="1">
        <v>414.3</v>
      </c>
      <c r="AO5" s="1">
        <v>122.3</v>
      </c>
      <c r="AP5" s="1">
        <v>155.6</v>
      </c>
      <c r="AQ5" s="1">
        <v>0.1</v>
      </c>
      <c r="AR5" s="1">
        <v>0</v>
      </c>
      <c r="AS5" s="1" t="s">
        <v>352</v>
      </c>
      <c r="AT5" s="1"/>
    </row>
    <row r="6" spans="1:46" ht="17" x14ac:dyDescent="0.2">
      <c r="A6" s="1" t="s">
        <v>410</v>
      </c>
      <c r="B6" s="1" t="s">
        <v>260</v>
      </c>
      <c r="C6" s="1" t="b">
        <v>1</v>
      </c>
      <c r="D6" s="1" t="b">
        <v>1</v>
      </c>
      <c r="E6" s="1">
        <v>736.2</v>
      </c>
      <c r="F6" s="1">
        <v>26</v>
      </c>
      <c r="G6" s="1">
        <v>55</v>
      </c>
      <c r="H6" s="1">
        <v>2</v>
      </c>
      <c r="I6" s="1">
        <v>0</v>
      </c>
      <c r="J6" s="1">
        <v>60</v>
      </c>
      <c r="K6" s="1">
        <v>5</v>
      </c>
      <c r="L6" s="1">
        <v>0</v>
      </c>
      <c r="M6" s="1">
        <v>0</v>
      </c>
      <c r="N6" s="1">
        <v>6</v>
      </c>
      <c r="O6" s="1">
        <v>154</v>
      </c>
      <c r="P6" s="1">
        <f t="shared" si="0"/>
        <v>71</v>
      </c>
      <c r="Q6" s="1">
        <f t="shared" si="1"/>
        <v>4.1764705882352944</v>
      </c>
      <c r="R6" s="1">
        <v>17</v>
      </c>
      <c r="S6" s="1">
        <v>6</v>
      </c>
      <c r="T6">
        <v>75</v>
      </c>
      <c r="U6" s="1">
        <v>0</v>
      </c>
      <c r="V6" s="1">
        <v>0</v>
      </c>
      <c r="W6" s="16" t="s">
        <v>149</v>
      </c>
      <c r="X6" s="1">
        <v>0</v>
      </c>
      <c r="Y6" s="1">
        <v>0</v>
      </c>
      <c r="Z6" s="1">
        <v>0.86</v>
      </c>
      <c r="AA6" s="1">
        <v>43</v>
      </c>
      <c r="AB6" s="1">
        <v>50</v>
      </c>
      <c r="AC6" s="1">
        <v>7</v>
      </c>
      <c r="AD6" s="1">
        <v>165</v>
      </c>
      <c r="AE6" s="1" t="s">
        <v>259</v>
      </c>
      <c r="AF6" s="1">
        <v>5916</v>
      </c>
      <c r="AG6" s="1">
        <v>233</v>
      </c>
      <c r="AH6" s="1">
        <v>10.688072999999999</v>
      </c>
      <c r="AI6" s="1">
        <v>0</v>
      </c>
      <c r="AJ6" s="1">
        <v>0</v>
      </c>
      <c r="AK6" s="1">
        <v>0</v>
      </c>
      <c r="AL6" s="1">
        <v>0</v>
      </c>
      <c r="AM6" s="1">
        <v>21.8</v>
      </c>
      <c r="AN6" s="1">
        <v>435</v>
      </c>
      <c r="AO6" s="1">
        <v>129</v>
      </c>
      <c r="AP6" s="1">
        <v>150.30000000000001</v>
      </c>
      <c r="AQ6" s="1">
        <v>0</v>
      </c>
      <c r="AR6" s="1">
        <v>0.1</v>
      </c>
      <c r="AS6" s="1" t="s">
        <v>351</v>
      </c>
      <c r="AT6" s="1"/>
    </row>
    <row r="7" spans="1:46" s="17" customFormat="1" ht="17" x14ac:dyDescent="0.2">
      <c r="A7" s="12" t="s">
        <v>410</v>
      </c>
      <c r="B7" s="12" t="s">
        <v>262</v>
      </c>
      <c r="C7" s="12" t="b">
        <v>1</v>
      </c>
      <c r="D7" s="12" t="b">
        <v>1</v>
      </c>
      <c r="E7" s="12">
        <v>724.2</v>
      </c>
      <c r="F7" s="12">
        <v>30</v>
      </c>
      <c r="G7" s="12">
        <v>54</v>
      </c>
      <c r="H7" s="12">
        <v>12</v>
      </c>
      <c r="I7" s="12">
        <v>0</v>
      </c>
      <c r="J7" s="12">
        <v>63</v>
      </c>
      <c r="K7" s="12">
        <v>3</v>
      </c>
      <c r="L7" s="12">
        <v>1</v>
      </c>
      <c r="M7" s="12">
        <v>0</v>
      </c>
      <c r="N7" s="12">
        <v>6</v>
      </c>
      <c r="O7" s="12">
        <v>169</v>
      </c>
      <c r="P7" s="1">
        <f t="shared" si="0"/>
        <v>73</v>
      </c>
      <c r="Q7" s="1">
        <f t="shared" si="1"/>
        <v>3.1739130434782608</v>
      </c>
      <c r="R7" s="12">
        <v>23</v>
      </c>
      <c r="S7" s="12">
        <v>4</v>
      </c>
      <c r="T7" s="17">
        <v>87</v>
      </c>
      <c r="U7" s="12">
        <v>0</v>
      </c>
      <c r="V7" s="12">
        <v>0</v>
      </c>
      <c r="W7" s="20" t="s">
        <v>149</v>
      </c>
      <c r="X7" s="12">
        <v>0</v>
      </c>
      <c r="Y7" s="12">
        <v>0</v>
      </c>
      <c r="Z7" s="12">
        <v>0.88</v>
      </c>
      <c r="AA7" s="12">
        <v>44</v>
      </c>
      <c r="AB7" s="12">
        <v>50</v>
      </c>
      <c r="AC7" s="12">
        <v>6</v>
      </c>
      <c r="AD7" s="12">
        <v>175</v>
      </c>
      <c r="AE7" s="12" t="s">
        <v>259</v>
      </c>
      <c r="AF7" s="12">
        <v>5916</v>
      </c>
      <c r="AG7" s="12">
        <v>233</v>
      </c>
      <c r="AH7" s="12">
        <v>10.264317</v>
      </c>
      <c r="AI7" s="12">
        <v>0</v>
      </c>
      <c r="AJ7" s="12">
        <v>0</v>
      </c>
      <c r="AK7" s="12">
        <v>0.1</v>
      </c>
      <c r="AL7" s="12">
        <v>0</v>
      </c>
      <c r="AM7" s="12">
        <v>22.7</v>
      </c>
      <c r="AN7" s="12">
        <v>438.3</v>
      </c>
      <c r="AO7" s="12">
        <v>131.19999999999999</v>
      </c>
      <c r="AP7" s="12">
        <v>131.80000000000001</v>
      </c>
      <c r="AQ7" s="12">
        <v>0</v>
      </c>
      <c r="AR7" s="12">
        <v>0.1</v>
      </c>
      <c r="AS7" s="12" t="s">
        <v>353</v>
      </c>
      <c r="AT7" s="12"/>
    </row>
    <row r="8" spans="1:46" ht="17" x14ac:dyDescent="0.2">
      <c r="A8" s="1" t="s">
        <v>414</v>
      </c>
      <c r="B8" s="1" t="s">
        <v>63</v>
      </c>
      <c r="C8" s="1" t="b">
        <v>1</v>
      </c>
      <c r="D8" s="1" t="b">
        <v>0</v>
      </c>
      <c r="E8" s="1">
        <v>778.4</v>
      </c>
      <c r="F8" s="1">
        <v>20</v>
      </c>
      <c r="G8" s="1">
        <v>54</v>
      </c>
      <c r="H8" s="1">
        <v>11</v>
      </c>
      <c r="I8" s="1">
        <v>2</v>
      </c>
      <c r="J8" s="1">
        <v>50</v>
      </c>
      <c r="K8" s="1">
        <v>3</v>
      </c>
      <c r="L8" s="1">
        <v>1</v>
      </c>
      <c r="M8" s="1">
        <v>0</v>
      </c>
      <c r="N8" s="1">
        <v>4</v>
      </c>
      <c r="O8" s="1">
        <v>145</v>
      </c>
      <c r="P8" s="1">
        <f t="shared" si="0"/>
        <v>58</v>
      </c>
      <c r="Q8" s="1">
        <f t="shared" si="1"/>
        <v>11.6</v>
      </c>
      <c r="R8" s="1">
        <v>5</v>
      </c>
      <c r="S8" s="1">
        <v>8</v>
      </c>
      <c r="T8">
        <v>63</v>
      </c>
      <c r="U8" s="1">
        <v>0</v>
      </c>
      <c r="V8" s="1">
        <v>0</v>
      </c>
      <c r="W8" s="16" t="s">
        <v>149</v>
      </c>
      <c r="X8" s="1" t="s">
        <v>149</v>
      </c>
      <c r="Y8" s="1" t="s">
        <v>149</v>
      </c>
      <c r="Z8" s="1">
        <v>0.46938800000000003</v>
      </c>
      <c r="AA8" s="1">
        <v>23</v>
      </c>
      <c r="AB8" s="1">
        <v>49</v>
      </c>
      <c r="AC8" s="1">
        <v>26</v>
      </c>
      <c r="AD8" s="1">
        <v>156</v>
      </c>
      <c r="AE8" s="1" t="s">
        <v>259</v>
      </c>
      <c r="AF8" s="1">
        <v>5659</v>
      </c>
      <c r="AG8" s="1">
        <v>287</v>
      </c>
      <c r="AH8" s="1">
        <v>11.388889000000001</v>
      </c>
      <c r="AI8" s="1">
        <v>0</v>
      </c>
      <c r="AJ8" s="1">
        <v>0</v>
      </c>
      <c r="AK8" s="1">
        <v>0</v>
      </c>
      <c r="AL8" s="1">
        <v>0</v>
      </c>
      <c r="AM8" s="1">
        <v>25.2</v>
      </c>
      <c r="AN8" s="1">
        <v>441.6</v>
      </c>
      <c r="AO8" s="1">
        <v>154</v>
      </c>
      <c r="AP8" s="1">
        <v>157.5</v>
      </c>
      <c r="AQ8" s="1">
        <v>0.1</v>
      </c>
      <c r="AR8" s="1">
        <v>0</v>
      </c>
      <c r="AS8" s="1" t="s">
        <v>355</v>
      </c>
      <c r="AT8" s="1"/>
    </row>
    <row r="9" spans="1:46" s="17" customFormat="1" ht="17" x14ac:dyDescent="0.2">
      <c r="A9" s="12" t="s">
        <v>414</v>
      </c>
      <c r="B9" s="12" t="s">
        <v>260</v>
      </c>
      <c r="C9" s="12" t="b">
        <v>1</v>
      </c>
      <c r="D9" s="12" t="b">
        <v>1</v>
      </c>
      <c r="E9" s="12">
        <v>742.2</v>
      </c>
      <c r="F9" s="12">
        <v>30</v>
      </c>
      <c r="G9" s="12">
        <v>65</v>
      </c>
      <c r="H9" s="12">
        <v>0</v>
      </c>
      <c r="I9" s="12">
        <v>2</v>
      </c>
      <c r="J9" s="12">
        <v>66</v>
      </c>
      <c r="K9" s="12">
        <v>3</v>
      </c>
      <c r="L9" s="12">
        <v>1</v>
      </c>
      <c r="M9" s="12">
        <v>0</v>
      </c>
      <c r="N9" s="12">
        <v>4</v>
      </c>
      <c r="O9" s="12">
        <v>171</v>
      </c>
      <c r="P9" s="1">
        <f t="shared" si="0"/>
        <v>74</v>
      </c>
      <c r="Q9" s="1">
        <f t="shared" si="1"/>
        <v>6.166666666666667</v>
      </c>
      <c r="R9" s="12">
        <v>12</v>
      </c>
      <c r="S9" s="12">
        <v>8</v>
      </c>
      <c r="T9" s="17">
        <v>93</v>
      </c>
      <c r="U9" s="12">
        <v>0</v>
      </c>
      <c r="V9" s="12">
        <v>0</v>
      </c>
      <c r="W9" s="20" t="s">
        <v>149</v>
      </c>
      <c r="X9" s="12">
        <v>0</v>
      </c>
      <c r="Y9" s="12">
        <v>0</v>
      </c>
      <c r="Z9" s="12">
        <v>0.53061199999999997</v>
      </c>
      <c r="AA9" s="12">
        <v>26</v>
      </c>
      <c r="AB9" s="12">
        <v>49</v>
      </c>
      <c r="AC9" s="12">
        <v>23</v>
      </c>
      <c r="AD9" s="12">
        <v>179</v>
      </c>
      <c r="AE9" s="12" t="s">
        <v>259</v>
      </c>
      <c r="AF9" s="12">
        <v>5659</v>
      </c>
      <c r="AG9" s="12">
        <v>287</v>
      </c>
      <c r="AH9" s="12">
        <v>11.388889000000001</v>
      </c>
      <c r="AI9" s="12">
        <v>0</v>
      </c>
      <c r="AJ9" s="12">
        <v>0</v>
      </c>
      <c r="AK9" s="12">
        <v>0</v>
      </c>
      <c r="AL9" s="12">
        <v>0</v>
      </c>
      <c r="AM9" s="12">
        <v>25.2</v>
      </c>
      <c r="AN9" s="12">
        <v>449.9</v>
      </c>
      <c r="AO9" s="12">
        <v>140</v>
      </c>
      <c r="AP9" s="12">
        <v>127</v>
      </c>
      <c r="AQ9" s="12">
        <v>0.1</v>
      </c>
      <c r="AR9" s="12">
        <v>0</v>
      </c>
      <c r="AS9" s="12" t="s">
        <v>364</v>
      </c>
      <c r="AT9" s="12"/>
    </row>
    <row r="10" spans="1:46" ht="17" x14ac:dyDescent="0.2">
      <c r="A10" s="1" t="s">
        <v>414</v>
      </c>
      <c r="B10" s="1" t="s">
        <v>261</v>
      </c>
      <c r="C10" s="1" t="b">
        <v>1</v>
      </c>
      <c r="D10" s="1" t="b">
        <v>1</v>
      </c>
      <c r="E10" s="1">
        <v>844.3</v>
      </c>
      <c r="F10" s="1">
        <v>31</v>
      </c>
      <c r="G10" s="1">
        <v>70</v>
      </c>
      <c r="H10" s="1">
        <v>0</v>
      </c>
      <c r="I10" s="1">
        <v>2</v>
      </c>
      <c r="J10" s="1">
        <v>72</v>
      </c>
      <c r="K10" s="1">
        <v>5</v>
      </c>
      <c r="L10" s="1">
        <v>2</v>
      </c>
      <c r="M10" s="1">
        <v>0</v>
      </c>
      <c r="N10" s="1">
        <v>4</v>
      </c>
      <c r="O10" s="1">
        <v>186</v>
      </c>
      <c r="P10" s="1">
        <f t="shared" si="0"/>
        <v>83</v>
      </c>
      <c r="Q10" s="1">
        <f t="shared" si="1"/>
        <v>27.666666666666668</v>
      </c>
      <c r="R10" s="1">
        <v>3</v>
      </c>
      <c r="S10" s="1">
        <v>8</v>
      </c>
      <c r="T10">
        <v>97</v>
      </c>
      <c r="U10" s="1">
        <v>0</v>
      </c>
      <c r="V10" s="1">
        <v>0</v>
      </c>
      <c r="W10" s="16" t="s">
        <v>149</v>
      </c>
      <c r="X10" s="1">
        <v>0</v>
      </c>
      <c r="Y10" s="1">
        <v>0</v>
      </c>
      <c r="Z10" s="1">
        <v>0.48979600000000001</v>
      </c>
      <c r="AA10" s="1">
        <v>24</v>
      </c>
      <c r="AB10" s="1">
        <v>49</v>
      </c>
      <c r="AC10" s="1">
        <v>25</v>
      </c>
      <c r="AD10" s="1">
        <v>196</v>
      </c>
      <c r="AE10" s="1" t="s">
        <v>259</v>
      </c>
      <c r="AF10" s="1">
        <v>5659</v>
      </c>
      <c r="AG10" s="1">
        <v>287</v>
      </c>
      <c r="AH10" s="1">
        <v>11.210938000000001</v>
      </c>
      <c r="AI10" s="1">
        <v>0</v>
      </c>
      <c r="AJ10" s="1">
        <v>0</v>
      </c>
      <c r="AK10" s="1">
        <v>0</v>
      </c>
      <c r="AL10" s="1">
        <v>0</v>
      </c>
      <c r="AM10" s="1">
        <v>25.6</v>
      </c>
      <c r="AN10" s="1">
        <v>523.6</v>
      </c>
      <c r="AO10" s="1">
        <v>127.9</v>
      </c>
      <c r="AP10" s="1">
        <v>167.1</v>
      </c>
      <c r="AQ10" s="1">
        <v>0.1</v>
      </c>
      <c r="AR10" s="1">
        <v>0</v>
      </c>
      <c r="AS10" s="1" t="s">
        <v>354</v>
      </c>
      <c r="AT10" s="1"/>
    </row>
    <row r="11" spans="1:46" ht="17" x14ac:dyDescent="0.2">
      <c r="A11" s="1" t="s">
        <v>418</v>
      </c>
      <c r="B11" s="1" t="s">
        <v>63</v>
      </c>
      <c r="C11" s="1" t="b">
        <v>1</v>
      </c>
      <c r="D11" s="1" t="b">
        <v>1</v>
      </c>
      <c r="E11" s="1">
        <v>862.4</v>
      </c>
      <c r="F11" s="1">
        <v>24</v>
      </c>
      <c r="G11" s="1">
        <v>54</v>
      </c>
      <c r="H11" s="1">
        <v>11</v>
      </c>
      <c r="I11" s="1">
        <v>2</v>
      </c>
      <c r="J11" s="1">
        <v>57</v>
      </c>
      <c r="K11" s="1">
        <v>5</v>
      </c>
      <c r="L11" s="1">
        <v>2</v>
      </c>
      <c r="M11" s="1">
        <v>0</v>
      </c>
      <c r="N11" s="1">
        <v>6</v>
      </c>
      <c r="O11" s="1">
        <v>161</v>
      </c>
      <c r="P11" s="1">
        <f t="shared" si="0"/>
        <v>70</v>
      </c>
      <c r="Q11" s="1">
        <f t="shared" si="1"/>
        <v>5.384615384615385</v>
      </c>
      <c r="R11" s="1">
        <v>13</v>
      </c>
      <c r="S11" s="1">
        <v>7</v>
      </c>
      <c r="T11">
        <v>75</v>
      </c>
      <c r="U11" s="1">
        <v>0</v>
      </c>
      <c r="V11" s="1">
        <v>0</v>
      </c>
      <c r="W11" s="16" t="s">
        <v>149</v>
      </c>
      <c r="X11" s="1">
        <v>4</v>
      </c>
      <c r="Y11" s="1">
        <v>2.4844999999999999E-2</v>
      </c>
      <c r="Z11" s="1">
        <v>0.61904800000000004</v>
      </c>
      <c r="AA11" s="1">
        <v>39</v>
      </c>
      <c r="AB11" s="1">
        <v>63</v>
      </c>
      <c r="AC11" s="1">
        <v>24</v>
      </c>
      <c r="AD11" s="1">
        <v>181</v>
      </c>
      <c r="AE11" s="1" t="s">
        <v>259</v>
      </c>
      <c r="AF11" s="1">
        <v>5722</v>
      </c>
      <c r="AG11" s="1">
        <v>524</v>
      </c>
      <c r="AH11" s="1">
        <v>12.906404</v>
      </c>
      <c r="AI11" s="1">
        <v>0</v>
      </c>
      <c r="AJ11" s="1">
        <v>0</v>
      </c>
      <c r="AK11" s="1">
        <v>0</v>
      </c>
      <c r="AL11" s="1">
        <v>0</v>
      </c>
      <c r="AM11" s="1">
        <v>40.6</v>
      </c>
      <c r="AN11" s="1">
        <v>487.9</v>
      </c>
      <c r="AO11" s="1">
        <v>135.4</v>
      </c>
      <c r="AP11" s="1">
        <v>198.5</v>
      </c>
      <c r="AQ11" s="1">
        <v>0</v>
      </c>
      <c r="AR11" s="1">
        <v>0</v>
      </c>
      <c r="AS11" s="1" t="s">
        <v>356</v>
      </c>
      <c r="AT11" s="1"/>
    </row>
    <row r="12" spans="1:46" ht="17" x14ac:dyDescent="0.2">
      <c r="A12" s="1" t="s">
        <v>418</v>
      </c>
      <c r="B12" s="1" t="s">
        <v>260</v>
      </c>
      <c r="C12" s="1" t="b">
        <v>1</v>
      </c>
      <c r="D12" s="1" t="b">
        <v>1</v>
      </c>
      <c r="E12" s="1">
        <v>825.5</v>
      </c>
      <c r="F12" s="1">
        <v>24</v>
      </c>
      <c r="G12" s="1">
        <v>56</v>
      </c>
      <c r="H12" s="1">
        <v>11</v>
      </c>
      <c r="I12" s="1">
        <v>1</v>
      </c>
      <c r="J12" s="1">
        <v>59</v>
      </c>
      <c r="K12" s="1">
        <v>3</v>
      </c>
      <c r="L12" s="1">
        <v>1</v>
      </c>
      <c r="M12" s="1">
        <v>0</v>
      </c>
      <c r="N12" s="1">
        <v>6</v>
      </c>
      <c r="O12" s="1">
        <v>161</v>
      </c>
      <c r="P12" s="1">
        <f t="shared" si="0"/>
        <v>69</v>
      </c>
      <c r="Q12" s="1">
        <f t="shared" si="1"/>
        <v>6.2727272727272725</v>
      </c>
      <c r="R12" s="1">
        <v>11</v>
      </c>
      <c r="S12" s="1">
        <v>9</v>
      </c>
      <c r="T12">
        <v>78</v>
      </c>
      <c r="U12" s="1">
        <v>0</v>
      </c>
      <c r="V12" s="1">
        <v>0</v>
      </c>
      <c r="W12" s="16" t="s">
        <v>149</v>
      </c>
      <c r="X12" s="1">
        <v>1</v>
      </c>
      <c r="Y12" s="1">
        <v>6.2110000000000004E-3</v>
      </c>
      <c r="Z12" s="1">
        <v>0.61904800000000004</v>
      </c>
      <c r="AA12" s="1">
        <v>39</v>
      </c>
      <c r="AB12" s="1">
        <v>63</v>
      </c>
      <c r="AC12" s="1">
        <v>24</v>
      </c>
      <c r="AD12" s="1">
        <v>186</v>
      </c>
      <c r="AE12" s="1" t="s">
        <v>259</v>
      </c>
      <c r="AF12" s="1">
        <v>5722</v>
      </c>
      <c r="AG12" s="1">
        <v>506</v>
      </c>
      <c r="AH12" s="1">
        <v>12.777778</v>
      </c>
      <c r="AI12" s="1">
        <v>0</v>
      </c>
      <c r="AJ12" s="1">
        <v>0</v>
      </c>
      <c r="AK12" s="1">
        <v>0</v>
      </c>
      <c r="AL12" s="1">
        <v>0</v>
      </c>
      <c r="AM12" s="1">
        <v>39.6</v>
      </c>
      <c r="AN12" s="1">
        <v>489.2</v>
      </c>
      <c r="AO12" s="1">
        <v>135.30000000000001</v>
      </c>
      <c r="AP12" s="1">
        <v>161.30000000000001</v>
      </c>
      <c r="AQ12" s="1">
        <v>0.1</v>
      </c>
      <c r="AR12" s="1">
        <v>0</v>
      </c>
      <c r="AS12" s="1" t="s">
        <v>356</v>
      </c>
      <c r="AT12" s="1"/>
    </row>
    <row r="13" spans="1:46" s="17" customFormat="1" ht="17" x14ac:dyDescent="0.2">
      <c r="A13" s="12" t="s">
        <v>418</v>
      </c>
      <c r="B13" s="12" t="s">
        <v>261</v>
      </c>
      <c r="C13" s="12" t="b">
        <v>1</v>
      </c>
      <c r="D13" s="12" t="b">
        <v>1</v>
      </c>
      <c r="E13" s="12">
        <v>799.8</v>
      </c>
      <c r="F13" s="12">
        <v>23</v>
      </c>
      <c r="G13" s="12">
        <v>50</v>
      </c>
      <c r="H13" s="12">
        <v>12</v>
      </c>
      <c r="I13" s="12">
        <v>0</v>
      </c>
      <c r="J13" s="12">
        <v>57</v>
      </c>
      <c r="K13" s="12">
        <v>3</v>
      </c>
      <c r="L13" s="12">
        <v>1</v>
      </c>
      <c r="M13" s="12">
        <v>0</v>
      </c>
      <c r="N13" s="12">
        <v>7</v>
      </c>
      <c r="O13" s="12">
        <v>153</v>
      </c>
      <c r="P13" s="1">
        <f t="shared" si="0"/>
        <v>68</v>
      </c>
      <c r="Q13" s="1">
        <f t="shared" si="1"/>
        <v>6.1818181818181817</v>
      </c>
      <c r="R13" s="12">
        <v>11</v>
      </c>
      <c r="S13" s="12">
        <v>9</v>
      </c>
      <c r="T13" s="17">
        <v>72</v>
      </c>
      <c r="U13" s="12">
        <v>0</v>
      </c>
      <c r="V13" s="12">
        <v>0</v>
      </c>
      <c r="W13" s="20" t="s">
        <v>149</v>
      </c>
      <c r="X13" s="12">
        <v>3</v>
      </c>
      <c r="Y13" s="12">
        <v>1.9608E-2</v>
      </c>
      <c r="Z13" s="12">
        <v>0.68254000000000004</v>
      </c>
      <c r="AA13" s="12">
        <v>43</v>
      </c>
      <c r="AB13" s="12">
        <v>63</v>
      </c>
      <c r="AC13" s="12">
        <v>20</v>
      </c>
      <c r="AD13" s="12">
        <v>179</v>
      </c>
      <c r="AE13" s="12" t="s">
        <v>259</v>
      </c>
      <c r="AF13" s="12">
        <v>5722</v>
      </c>
      <c r="AG13" s="12">
        <v>448</v>
      </c>
      <c r="AH13" s="12">
        <v>12.479108999999999</v>
      </c>
      <c r="AI13" s="12">
        <v>0</v>
      </c>
      <c r="AJ13" s="12">
        <v>0</v>
      </c>
      <c r="AK13" s="12">
        <v>0</v>
      </c>
      <c r="AL13" s="12">
        <v>0</v>
      </c>
      <c r="AM13" s="12">
        <v>35.9</v>
      </c>
      <c r="AN13" s="12">
        <v>489</v>
      </c>
      <c r="AO13" s="12">
        <v>130.9</v>
      </c>
      <c r="AP13" s="12">
        <v>144</v>
      </c>
      <c r="AQ13" s="12">
        <v>0</v>
      </c>
      <c r="AR13" s="12">
        <v>0</v>
      </c>
      <c r="AS13" s="12" t="s">
        <v>357</v>
      </c>
      <c r="AT13" s="12"/>
    </row>
    <row r="14" spans="1:46" s="17" customFormat="1" ht="17" x14ac:dyDescent="0.2">
      <c r="A14" s="12" t="s">
        <v>422</v>
      </c>
      <c r="B14" s="12" t="s">
        <v>63</v>
      </c>
      <c r="C14" s="12" t="b">
        <v>1</v>
      </c>
      <c r="D14" s="12" t="b">
        <v>1</v>
      </c>
      <c r="E14" s="12">
        <v>830.9</v>
      </c>
      <c r="F14" s="12">
        <v>26</v>
      </c>
      <c r="G14" s="12">
        <v>52</v>
      </c>
      <c r="H14" s="12">
        <v>13</v>
      </c>
      <c r="I14" s="12">
        <v>0</v>
      </c>
      <c r="J14" s="12">
        <v>58</v>
      </c>
      <c r="K14" s="12">
        <v>6</v>
      </c>
      <c r="L14" s="12">
        <v>1</v>
      </c>
      <c r="M14" s="12">
        <v>1</v>
      </c>
      <c r="N14" s="12">
        <v>3</v>
      </c>
      <c r="O14" s="12">
        <v>160</v>
      </c>
      <c r="P14" s="1">
        <f>SUM(J14,K14,L14,M14,N14,O14)</f>
        <v>229</v>
      </c>
      <c r="Q14" s="1">
        <f t="shared" si="1"/>
        <v>17.615384615384617</v>
      </c>
      <c r="R14" s="12">
        <v>13</v>
      </c>
      <c r="S14" s="12">
        <v>15</v>
      </c>
      <c r="T14" s="17">
        <v>75</v>
      </c>
      <c r="U14" s="12">
        <v>0</v>
      </c>
      <c r="V14" s="12">
        <v>0</v>
      </c>
      <c r="W14" s="17">
        <v>1</v>
      </c>
      <c r="X14" s="12">
        <v>2</v>
      </c>
      <c r="Y14" s="12">
        <v>1.2500000000000001E-2</v>
      </c>
      <c r="Z14" s="12">
        <v>0.66666700000000001</v>
      </c>
      <c r="AA14" s="12">
        <v>30</v>
      </c>
      <c r="AB14" s="12">
        <v>45</v>
      </c>
      <c r="AC14" s="12">
        <v>15</v>
      </c>
      <c r="AD14" s="12">
        <v>145</v>
      </c>
      <c r="AE14" s="12" t="s">
        <v>259</v>
      </c>
      <c r="AF14" s="12">
        <v>5448</v>
      </c>
      <c r="AG14" s="12">
        <v>484</v>
      </c>
      <c r="AH14" s="12">
        <v>10.637363000000001</v>
      </c>
      <c r="AI14" s="12">
        <v>0</v>
      </c>
      <c r="AJ14" s="12">
        <v>0</v>
      </c>
      <c r="AK14" s="12">
        <v>0</v>
      </c>
      <c r="AL14" s="12">
        <v>0.1</v>
      </c>
      <c r="AM14" s="12">
        <v>45.5</v>
      </c>
      <c r="AN14" s="12">
        <v>326.8</v>
      </c>
      <c r="AO14" s="12">
        <v>274.7</v>
      </c>
      <c r="AP14" s="12">
        <v>183.8</v>
      </c>
      <c r="AQ14" s="12">
        <v>0</v>
      </c>
      <c r="AR14" s="12">
        <v>0</v>
      </c>
      <c r="AS14" s="12" t="s">
        <v>360</v>
      </c>
      <c r="AT14" s="12"/>
    </row>
    <row r="15" spans="1:46" ht="17" x14ac:dyDescent="0.2">
      <c r="A15" s="1" t="s">
        <v>422</v>
      </c>
      <c r="B15" s="1" t="s">
        <v>74</v>
      </c>
      <c r="C15" s="1" t="b">
        <v>1</v>
      </c>
      <c r="D15" s="1" t="b">
        <v>1</v>
      </c>
      <c r="E15" s="1">
        <v>859.2</v>
      </c>
      <c r="F15" s="1">
        <v>27</v>
      </c>
      <c r="G15" s="1">
        <v>53</v>
      </c>
      <c r="H15" s="1">
        <v>5</v>
      </c>
      <c r="I15" s="1">
        <v>0</v>
      </c>
      <c r="J15" s="1">
        <v>57</v>
      </c>
      <c r="K15" s="1">
        <v>6</v>
      </c>
      <c r="L15" s="1">
        <v>1</v>
      </c>
      <c r="M15" s="1">
        <v>1</v>
      </c>
      <c r="N15" s="1">
        <v>3</v>
      </c>
      <c r="O15" s="1">
        <v>153</v>
      </c>
      <c r="P15" s="1">
        <f t="shared" ref="P15:P16" si="2">SUM(J15,K15,L15,M15,N15,O15)</f>
        <v>221</v>
      </c>
      <c r="Q15" s="1">
        <f t="shared" si="1"/>
        <v>14.733333333333333</v>
      </c>
      <c r="R15" s="1">
        <v>15</v>
      </c>
      <c r="S15" s="1">
        <v>0</v>
      </c>
      <c r="T15">
        <v>87</v>
      </c>
      <c r="U15" s="1">
        <v>0</v>
      </c>
      <c r="V15" s="1">
        <v>0</v>
      </c>
      <c r="W15">
        <v>1</v>
      </c>
      <c r="X15" s="1">
        <v>2</v>
      </c>
      <c r="Y15" s="1">
        <v>1.3072E-2</v>
      </c>
      <c r="Z15" s="1">
        <v>0.62222200000000005</v>
      </c>
      <c r="AA15" s="1">
        <v>28</v>
      </c>
      <c r="AB15" s="1">
        <v>45</v>
      </c>
      <c r="AC15" s="1">
        <v>17</v>
      </c>
      <c r="AD15" s="1">
        <v>173</v>
      </c>
      <c r="AE15" s="1" t="s">
        <v>259</v>
      </c>
      <c r="AF15" s="1">
        <v>5448</v>
      </c>
      <c r="AG15" s="1">
        <v>484</v>
      </c>
      <c r="AH15" s="1">
        <v>12.670157</v>
      </c>
      <c r="AI15" s="1">
        <v>0</v>
      </c>
      <c r="AJ15" s="1">
        <v>0</v>
      </c>
      <c r="AK15" s="1">
        <v>0</v>
      </c>
      <c r="AL15" s="1">
        <v>0.1</v>
      </c>
      <c r="AM15" s="1">
        <v>38.200000000000003</v>
      </c>
      <c r="AN15" s="1">
        <v>336</v>
      </c>
      <c r="AO15" s="1">
        <v>219.4</v>
      </c>
      <c r="AP15" s="1">
        <v>265.39999999999998</v>
      </c>
      <c r="AQ15" s="1">
        <v>0.1</v>
      </c>
      <c r="AR15" s="1">
        <v>0</v>
      </c>
      <c r="AS15" s="1" t="s">
        <v>358</v>
      </c>
      <c r="AT15" s="1"/>
    </row>
    <row r="16" spans="1:46" ht="17" x14ac:dyDescent="0.2">
      <c r="A16" s="1" t="s">
        <v>422</v>
      </c>
      <c r="B16" s="1" t="s">
        <v>75</v>
      </c>
      <c r="C16" s="1" t="b">
        <v>1</v>
      </c>
      <c r="D16" s="1" t="b">
        <v>1</v>
      </c>
      <c r="E16" s="1">
        <v>801.1</v>
      </c>
      <c r="F16" s="1">
        <v>27</v>
      </c>
      <c r="G16" s="1">
        <v>52</v>
      </c>
      <c r="H16" s="1">
        <v>5</v>
      </c>
      <c r="I16" s="1">
        <v>0</v>
      </c>
      <c r="J16" s="1">
        <v>57</v>
      </c>
      <c r="K16" s="1">
        <v>8</v>
      </c>
      <c r="L16" s="1">
        <v>1</v>
      </c>
      <c r="M16" s="1">
        <v>1</v>
      </c>
      <c r="N16" s="1">
        <v>3</v>
      </c>
      <c r="O16" s="1">
        <v>154</v>
      </c>
      <c r="P16" s="1">
        <f t="shared" si="2"/>
        <v>224</v>
      </c>
      <c r="Q16" s="1">
        <f t="shared" si="1"/>
        <v>16</v>
      </c>
      <c r="R16" s="1">
        <v>14</v>
      </c>
      <c r="S16" s="1">
        <v>0</v>
      </c>
      <c r="T16">
        <v>88</v>
      </c>
      <c r="U16" s="1">
        <v>0</v>
      </c>
      <c r="V16" s="1">
        <v>0</v>
      </c>
      <c r="W16">
        <v>1</v>
      </c>
      <c r="X16" s="1">
        <v>0</v>
      </c>
      <c r="Y16" s="1">
        <v>0</v>
      </c>
      <c r="Z16" s="1">
        <v>0.8</v>
      </c>
      <c r="AA16" s="1">
        <v>36</v>
      </c>
      <c r="AB16" s="1">
        <v>45</v>
      </c>
      <c r="AC16" s="1">
        <v>9</v>
      </c>
      <c r="AD16" s="1">
        <v>165</v>
      </c>
      <c r="AE16" s="1" t="s">
        <v>259</v>
      </c>
      <c r="AF16" s="1">
        <v>5448</v>
      </c>
      <c r="AG16" s="1">
        <v>484</v>
      </c>
      <c r="AH16" s="1">
        <v>12.604167</v>
      </c>
      <c r="AI16" s="1">
        <v>0</v>
      </c>
      <c r="AJ16" s="1">
        <v>0</v>
      </c>
      <c r="AK16" s="1">
        <v>0</v>
      </c>
      <c r="AL16" s="1">
        <v>0.1</v>
      </c>
      <c r="AM16" s="1">
        <v>38.4</v>
      </c>
      <c r="AN16" s="1">
        <v>331.8</v>
      </c>
      <c r="AO16" s="1">
        <v>152.9</v>
      </c>
      <c r="AP16" s="1">
        <v>277.8</v>
      </c>
      <c r="AQ16" s="1">
        <v>0.1</v>
      </c>
      <c r="AR16" s="1">
        <v>0</v>
      </c>
      <c r="AS16" s="1" t="s">
        <v>359</v>
      </c>
      <c r="AT16" s="1"/>
    </row>
    <row r="17" spans="1:46" ht="17" x14ac:dyDescent="0.2">
      <c r="A17" s="1" t="s">
        <v>426</v>
      </c>
      <c r="B17" s="1" t="s">
        <v>63</v>
      </c>
      <c r="C17" s="1" t="b">
        <v>1</v>
      </c>
      <c r="D17" s="1" t="b">
        <v>1</v>
      </c>
      <c r="E17" s="1">
        <v>810.7</v>
      </c>
      <c r="F17" s="1">
        <v>21</v>
      </c>
      <c r="G17" s="1">
        <v>47</v>
      </c>
      <c r="H17" s="1">
        <v>12</v>
      </c>
      <c r="I17" s="1">
        <v>0</v>
      </c>
      <c r="J17" s="1">
        <v>68</v>
      </c>
      <c r="K17" s="1">
        <v>5</v>
      </c>
      <c r="L17" s="1">
        <v>2</v>
      </c>
      <c r="M17" s="1">
        <v>0</v>
      </c>
      <c r="N17" s="1">
        <v>6</v>
      </c>
      <c r="O17" s="1">
        <v>161</v>
      </c>
      <c r="P17" s="1">
        <f>SUM(J17,K17,L17,M17,N17)</f>
        <v>81</v>
      </c>
      <c r="Q17" s="1">
        <f t="shared" si="1"/>
        <v>7.3636363636363633</v>
      </c>
      <c r="R17" s="1">
        <v>11</v>
      </c>
      <c r="S17" s="1">
        <v>24</v>
      </c>
      <c r="T17">
        <v>56</v>
      </c>
      <c r="U17" s="1">
        <v>0</v>
      </c>
      <c r="V17" s="1">
        <v>0</v>
      </c>
      <c r="W17" s="16" t="s">
        <v>149</v>
      </c>
      <c r="X17" s="1">
        <v>0</v>
      </c>
      <c r="Y17" s="1">
        <v>0</v>
      </c>
      <c r="Z17" s="1">
        <v>0.894737</v>
      </c>
      <c r="AA17" s="1">
        <v>51</v>
      </c>
      <c r="AB17" s="1">
        <v>57</v>
      </c>
      <c r="AC17" s="1">
        <v>6</v>
      </c>
      <c r="AD17" s="1">
        <v>155</v>
      </c>
      <c r="AE17" s="1" t="s">
        <v>259</v>
      </c>
      <c r="AF17" s="1">
        <v>5914</v>
      </c>
      <c r="AG17" s="1">
        <v>352</v>
      </c>
      <c r="AH17" s="1">
        <v>9.6703299999999999</v>
      </c>
      <c r="AI17" s="1">
        <v>0</v>
      </c>
      <c r="AJ17" s="1">
        <v>0</v>
      </c>
      <c r="AK17" s="1">
        <v>0</v>
      </c>
      <c r="AL17" s="1">
        <v>0</v>
      </c>
      <c r="AM17" s="1">
        <v>36.4</v>
      </c>
      <c r="AN17" s="1">
        <v>376.3</v>
      </c>
      <c r="AO17" s="1">
        <v>137.6</v>
      </c>
      <c r="AP17" s="1">
        <v>260.39999999999998</v>
      </c>
      <c r="AQ17" s="1">
        <v>0</v>
      </c>
      <c r="AR17" s="1">
        <v>0</v>
      </c>
      <c r="AS17" s="1" t="s">
        <v>362</v>
      </c>
      <c r="AT17" s="1"/>
    </row>
    <row r="18" spans="1:46" s="17" customFormat="1" ht="17" x14ac:dyDescent="0.2">
      <c r="A18" s="12" t="s">
        <v>426</v>
      </c>
      <c r="B18" s="12" t="s">
        <v>260</v>
      </c>
      <c r="C18" s="12" t="b">
        <v>1</v>
      </c>
      <c r="D18" s="12" t="b">
        <v>1</v>
      </c>
      <c r="E18" s="12">
        <v>791.7</v>
      </c>
      <c r="F18" s="12">
        <v>20</v>
      </c>
      <c r="G18" s="12">
        <v>49</v>
      </c>
      <c r="H18" s="12">
        <v>12</v>
      </c>
      <c r="I18" s="12">
        <v>0</v>
      </c>
      <c r="J18" s="12">
        <v>62</v>
      </c>
      <c r="K18" s="12">
        <v>5</v>
      </c>
      <c r="L18" s="12">
        <v>2</v>
      </c>
      <c r="M18" s="12">
        <v>0</v>
      </c>
      <c r="N18" s="12">
        <v>4</v>
      </c>
      <c r="O18" s="12">
        <v>154</v>
      </c>
      <c r="P18" s="1">
        <f t="shared" ref="P18:P25" si="3">SUM(J18,K18,L18,M18,N18)</f>
        <v>73</v>
      </c>
      <c r="Q18" s="1">
        <f t="shared" si="1"/>
        <v>10.428571428571429</v>
      </c>
      <c r="R18" s="12">
        <v>7</v>
      </c>
      <c r="S18" s="12">
        <v>20</v>
      </c>
      <c r="T18" s="17">
        <v>54</v>
      </c>
      <c r="U18" s="12">
        <v>0</v>
      </c>
      <c r="V18" s="12">
        <v>0</v>
      </c>
      <c r="W18" s="20" t="s">
        <v>149</v>
      </c>
      <c r="X18" s="12">
        <v>0</v>
      </c>
      <c r="Y18" s="12">
        <v>0</v>
      </c>
      <c r="Z18" s="12">
        <v>0.859649</v>
      </c>
      <c r="AA18" s="12">
        <v>49</v>
      </c>
      <c r="AB18" s="12">
        <v>57</v>
      </c>
      <c r="AC18" s="12">
        <v>8</v>
      </c>
      <c r="AD18" s="12">
        <v>154</v>
      </c>
      <c r="AE18" s="12" t="s">
        <v>259</v>
      </c>
      <c r="AF18" s="12">
        <v>5914</v>
      </c>
      <c r="AG18" s="12">
        <v>283</v>
      </c>
      <c r="AH18" s="12">
        <v>11.054688000000001</v>
      </c>
      <c r="AI18" s="12">
        <v>0</v>
      </c>
      <c r="AJ18" s="12">
        <v>0</v>
      </c>
      <c r="AK18" s="12">
        <v>0</v>
      </c>
      <c r="AL18" s="12">
        <v>0</v>
      </c>
      <c r="AM18" s="12">
        <v>25.6</v>
      </c>
      <c r="AN18" s="12">
        <v>406.3</v>
      </c>
      <c r="AO18" s="12">
        <v>133.9</v>
      </c>
      <c r="AP18" s="12">
        <v>225.9</v>
      </c>
      <c r="AQ18" s="12">
        <v>0</v>
      </c>
      <c r="AR18" s="12">
        <v>0</v>
      </c>
      <c r="AS18" s="12" t="s">
        <v>363</v>
      </c>
      <c r="AT18" s="12"/>
    </row>
    <row r="19" spans="1:46" ht="17" x14ac:dyDescent="0.2">
      <c r="A19" s="1" t="s">
        <v>426</v>
      </c>
      <c r="B19" s="1" t="s">
        <v>261</v>
      </c>
      <c r="C19" s="1" t="b">
        <v>1</v>
      </c>
      <c r="D19" s="1" t="b">
        <v>1</v>
      </c>
      <c r="E19" s="1">
        <v>761.3</v>
      </c>
      <c r="F19" s="1">
        <v>25</v>
      </c>
      <c r="G19" s="1">
        <v>59</v>
      </c>
      <c r="H19" s="1">
        <v>7</v>
      </c>
      <c r="I19" s="1">
        <v>0</v>
      </c>
      <c r="J19" s="1">
        <v>72</v>
      </c>
      <c r="K19" s="1">
        <v>5</v>
      </c>
      <c r="L19" s="1">
        <v>2</v>
      </c>
      <c r="M19" s="1">
        <v>0</v>
      </c>
      <c r="N19" s="1">
        <v>4</v>
      </c>
      <c r="O19" s="1">
        <v>174</v>
      </c>
      <c r="P19" s="1">
        <f t="shared" si="3"/>
        <v>83</v>
      </c>
      <c r="Q19" s="1">
        <f t="shared" si="1"/>
        <v>11.857142857142858</v>
      </c>
      <c r="R19" s="1">
        <v>7</v>
      </c>
      <c r="S19" s="1">
        <v>20</v>
      </c>
      <c r="T19">
        <v>68</v>
      </c>
      <c r="U19" s="1">
        <v>0</v>
      </c>
      <c r="V19" s="1">
        <v>0</v>
      </c>
      <c r="W19" s="16" t="s">
        <v>149</v>
      </c>
      <c r="X19" s="1">
        <v>0</v>
      </c>
      <c r="Y19" s="1">
        <v>0</v>
      </c>
      <c r="Z19" s="1">
        <v>0.877193</v>
      </c>
      <c r="AA19" s="1">
        <v>50</v>
      </c>
      <c r="AB19" s="1">
        <v>57</v>
      </c>
      <c r="AC19" s="1">
        <v>7</v>
      </c>
      <c r="AD19" s="1">
        <v>158</v>
      </c>
      <c r="AE19" s="1" t="s">
        <v>259</v>
      </c>
      <c r="AF19" s="1">
        <v>5914</v>
      </c>
      <c r="AG19" s="1">
        <v>285</v>
      </c>
      <c r="AH19" s="1">
        <v>11.089494</v>
      </c>
      <c r="AI19" s="1">
        <v>0</v>
      </c>
      <c r="AJ19" s="1">
        <v>0</v>
      </c>
      <c r="AK19" s="1">
        <v>0</v>
      </c>
      <c r="AL19" s="1">
        <v>0</v>
      </c>
      <c r="AM19" s="1">
        <v>25.7</v>
      </c>
      <c r="AN19" s="1">
        <v>417.3</v>
      </c>
      <c r="AO19" s="1">
        <v>82.1</v>
      </c>
      <c r="AP19" s="1">
        <v>236.1</v>
      </c>
      <c r="AQ19" s="1">
        <v>0.1</v>
      </c>
      <c r="AR19" s="1">
        <v>0</v>
      </c>
      <c r="AS19" s="1" t="s">
        <v>361</v>
      </c>
      <c r="AT19" s="1"/>
    </row>
    <row r="20" spans="1:46" ht="17" x14ac:dyDescent="0.2">
      <c r="A20" s="1" t="s">
        <v>430</v>
      </c>
      <c r="B20" s="1" t="s">
        <v>63</v>
      </c>
      <c r="C20" s="1" t="b">
        <v>1</v>
      </c>
      <c r="D20" s="1" t="b">
        <v>1</v>
      </c>
      <c r="E20" s="1">
        <v>882.1</v>
      </c>
      <c r="F20" s="1">
        <v>26</v>
      </c>
      <c r="G20" s="1">
        <v>59</v>
      </c>
      <c r="H20" s="1">
        <v>1</v>
      </c>
      <c r="I20" s="1">
        <v>0</v>
      </c>
      <c r="J20" s="1">
        <v>71</v>
      </c>
      <c r="K20" s="1">
        <v>4</v>
      </c>
      <c r="L20" s="1">
        <v>1</v>
      </c>
      <c r="M20" s="1">
        <v>0</v>
      </c>
      <c r="N20" s="1">
        <v>4</v>
      </c>
      <c r="O20" s="1">
        <v>166</v>
      </c>
      <c r="P20" s="1">
        <f t="shared" si="3"/>
        <v>80</v>
      </c>
      <c r="Q20" s="1">
        <f t="shared" si="1"/>
        <v>7.2727272727272725</v>
      </c>
      <c r="R20" s="1">
        <v>11</v>
      </c>
      <c r="S20" s="1">
        <v>17</v>
      </c>
      <c r="T20">
        <v>78</v>
      </c>
      <c r="U20" s="1">
        <v>0</v>
      </c>
      <c r="V20" s="1">
        <v>0</v>
      </c>
      <c r="W20" s="16" t="s">
        <v>149</v>
      </c>
      <c r="X20" s="1">
        <v>2</v>
      </c>
      <c r="Y20" s="1">
        <v>1.2048E-2</v>
      </c>
      <c r="Z20" s="1">
        <v>0.84146299999999996</v>
      </c>
      <c r="AA20" s="1">
        <v>69</v>
      </c>
      <c r="AB20" s="1">
        <v>82</v>
      </c>
      <c r="AC20" s="1">
        <v>13</v>
      </c>
      <c r="AD20" s="1">
        <v>177</v>
      </c>
      <c r="AE20" s="1" t="s">
        <v>259</v>
      </c>
      <c r="AF20" s="1">
        <v>7599</v>
      </c>
      <c r="AG20" s="1">
        <v>463</v>
      </c>
      <c r="AH20" s="1">
        <v>11.93299</v>
      </c>
      <c r="AI20" s="1">
        <v>0</v>
      </c>
      <c r="AJ20" s="1">
        <v>0</v>
      </c>
      <c r="AK20" s="1">
        <v>0</v>
      </c>
      <c r="AL20" s="1">
        <v>0</v>
      </c>
      <c r="AM20" s="1">
        <v>38.799999999999997</v>
      </c>
      <c r="AN20" s="1">
        <v>598.20000000000005</v>
      </c>
      <c r="AO20" s="1">
        <v>33.700000000000003</v>
      </c>
      <c r="AP20" s="1">
        <v>211.3</v>
      </c>
      <c r="AQ20" s="1">
        <v>0.1</v>
      </c>
      <c r="AR20" s="1">
        <v>0</v>
      </c>
      <c r="AS20" s="1" t="s">
        <v>365</v>
      </c>
      <c r="AT20" s="1"/>
    </row>
    <row r="21" spans="1:46" ht="17" x14ac:dyDescent="0.2">
      <c r="A21" s="1" t="s">
        <v>430</v>
      </c>
      <c r="B21" s="1" t="s">
        <v>262</v>
      </c>
      <c r="C21" s="1" t="b">
        <v>1</v>
      </c>
      <c r="D21" s="1" t="b">
        <v>1</v>
      </c>
      <c r="E21" s="1">
        <v>875.6</v>
      </c>
      <c r="F21" s="1">
        <v>26</v>
      </c>
      <c r="G21" s="1">
        <v>62</v>
      </c>
      <c r="H21" s="1">
        <v>1</v>
      </c>
      <c r="I21" s="1">
        <v>0</v>
      </c>
      <c r="J21" s="1">
        <v>67</v>
      </c>
      <c r="K21" s="1">
        <v>3</v>
      </c>
      <c r="L21" s="1">
        <v>2</v>
      </c>
      <c r="M21" s="1">
        <v>0</v>
      </c>
      <c r="N21" s="1">
        <v>4</v>
      </c>
      <c r="O21" s="1">
        <v>165</v>
      </c>
      <c r="P21" s="1">
        <f t="shared" si="3"/>
        <v>76</v>
      </c>
      <c r="Q21" s="1">
        <f t="shared" si="1"/>
        <v>12.666666666666666</v>
      </c>
      <c r="R21" s="1">
        <v>6</v>
      </c>
      <c r="S21" s="1">
        <v>13</v>
      </c>
      <c r="T21">
        <v>78</v>
      </c>
      <c r="U21" s="1">
        <v>0</v>
      </c>
      <c r="V21" s="1">
        <v>0</v>
      </c>
      <c r="W21" s="16" t="s">
        <v>149</v>
      </c>
      <c r="X21" s="1">
        <v>2</v>
      </c>
      <c r="Y21" s="1">
        <v>1.2121E-2</v>
      </c>
      <c r="Z21" s="1">
        <v>0.81707300000000005</v>
      </c>
      <c r="AA21" s="1">
        <v>67</v>
      </c>
      <c r="AB21" s="1">
        <v>82</v>
      </c>
      <c r="AC21" s="1">
        <v>15</v>
      </c>
      <c r="AD21" s="1">
        <v>172</v>
      </c>
      <c r="AE21" s="1" t="s">
        <v>259</v>
      </c>
      <c r="AF21" s="1">
        <v>7599</v>
      </c>
      <c r="AG21" s="1">
        <v>439</v>
      </c>
      <c r="AH21" s="1">
        <v>11.613757</v>
      </c>
      <c r="AI21" s="1">
        <v>0</v>
      </c>
      <c r="AJ21" s="1">
        <v>0.1</v>
      </c>
      <c r="AK21" s="1">
        <v>0</v>
      </c>
      <c r="AL21" s="1">
        <v>0</v>
      </c>
      <c r="AM21" s="1">
        <v>37.799999999999997</v>
      </c>
      <c r="AN21" s="1">
        <v>619.6</v>
      </c>
      <c r="AO21" s="1">
        <v>28.5</v>
      </c>
      <c r="AP21" s="1">
        <v>189.5</v>
      </c>
      <c r="AQ21" s="1">
        <v>0.1</v>
      </c>
      <c r="AR21" s="1">
        <v>0</v>
      </c>
      <c r="AS21" s="1" t="s">
        <v>365</v>
      </c>
      <c r="AT21" s="1"/>
    </row>
    <row r="22" spans="1:46" s="17" customFormat="1" ht="17" x14ac:dyDescent="0.2">
      <c r="A22" s="12" t="s">
        <v>430</v>
      </c>
      <c r="B22" s="12" t="s">
        <v>263</v>
      </c>
      <c r="C22" s="12" t="b">
        <v>1</v>
      </c>
      <c r="D22" s="12" t="b">
        <v>1</v>
      </c>
      <c r="E22" s="12">
        <v>845.9</v>
      </c>
      <c r="F22" s="12">
        <v>26</v>
      </c>
      <c r="G22" s="12">
        <v>62</v>
      </c>
      <c r="H22" s="12">
        <v>1</v>
      </c>
      <c r="I22" s="12">
        <v>0</v>
      </c>
      <c r="J22" s="12">
        <v>65</v>
      </c>
      <c r="K22" s="12">
        <v>3</v>
      </c>
      <c r="L22" s="12">
        <v>1</v>
      </c>
      <c r="M22" s="12">
        <v>0</v>
      </c>
      <c r="N22" s="12">
        <v>4</v>
      </c>
      <c r="O22" s="12">
        <v>162</v>
      </c>
      <c r="P22" s="1">
        <f t="shared" si="3"/>
        <v>73</v>
      </c>
      <c r="Q22" s="1">
        <f t="shared" si="1"/>
        <v>6.083333333333333</v>
      </c>
      <c r="R22" s="12">
        <v>12</v>
      </c>
      <c r="S22" s="12">
        <v>11</v>
      </c>
      <c r="T22" s="17">
        <v>78</v>
      </c>
      <c r="U22" s="12">
        <v>0</v>
      </c>
      <c r="V22" s="12">
        <v>0</v>
      </c>
      <c r="W22" s="20" t="s">
        <v>149</v>
      </c>
      <c r="X22" s="12">
        <v>2</v>
      </c>
      <c r="Y22" s="12">
        <v>1.2345999999999999E-2</v>
      </c>
      <c r="Z22" s="12">
        <v>0.85365899999999995</v>
      </c>
      <c r="AA22" s="12">
        <v>70</v>
      </c>
      <c r="AB22" s="12">
        <v>82</v>
      </c>
      <c r="AC22" s="12">
        <v>12</v>
      </c>
      <c r="AD22" s="12">
        <v>176</v>
      </c>
      <c r="AE22" s="12" t="s">
        <v>259</v>
      </c>
      <c r="AF22" s="12">
        <v>7599</v>
      </c>
      <c r="AG22" s="12">
        <v>438</v>
      </c>
      <c r="AH22" s="12">
        <v>11.80593</v>
      </c>
      <c r="AI22" s="12">
        <v>0</v>
      </c>
      <c r="AJ22" s="12">
        <v>0.1</v>
      </c>
      <c r="AK22" s="12">
        <v>0</v>
      </c>
      <c r="AL22" s="12">
        <v>0</v>
      </c>
      <c r="AM22" s="12">
        <v>37.1</v>
      </c>
      <c r="AN22" s="12">
        <v>613.5</v>
      </c>
      <c r="AO22" s="12">
        <v>26.2</v>
      </c>
      <c r="AP22" s="12">
        <v>168.9</v>
      </c>
      <c r="AQ22" s="12">
        <v>0.1</v>
      </c>
      <c r="AR22" s="12">
        <v>0</v>
      </c>
      <c r="AS22" s="12" t="s">
        <v>366</v>
      </c>
      <c r="AT22" s="12"/>
    </row>
    <row r="23" spans="1:46" ht="17" x14ac:dyDescent="0.2">
      <c r="A23" s="1" t="s">
        <v>434</v>
      </c>
      <c r="B23" s="1" t="s">
        <v>63</v>
      </c>
      <c r="C23" s="1" t="b">
        <v>1</v>
      </c>
      <c r="D23" s="1" t="b">
        <v>1</v>
      </c>
      <c r="E23" s="1">
        <v>801.1</v>
      </c>
      <c r="F23" s="1">
        <v>26</v>
      </c>
      <c r="G23" s="1">
        <v>61</v>
      </c>
      <c r="H23" s="1">
        <v>12</v>
      </c>
      <c r="I23" s="1">
        <v>1</v>
      </c>
      <c r="J23" s="1">
        <v>62</v>
      </c>
      <c r="K23" s="1">
        <v>3</v>
      </c>
      <c r="L23" s="1">
        <v>2</v>
      </c>
      <c r="M23" s="1">
        <v>0</v>
      </c>
      <c r="N23" s="1">
        <v>3</v>
      </c>
      <c r="O23" s="1">
        <v>170</v>
      </c>
      <c r="P23" s="1">
        <f t="shared" si="3"/>
        <v>70</v>
      </c>
      <c r="Q23" s="1">
        <f t="shared" si="1"/>
        <v>8.75</v>
      </c>
      <c r="R23" s="1">
        <v>8</v>
      </c>
      <c r="S23" s="1">
        <v>8</v>
      </c>
      <c r="T23">
        <v>76</v>
      </c>
      <c r="U23" s="1">
        <v>0</v>
      </c>
      <c r="V23" s="1">
        <v>0</v>
      </c>
      <c r="W23" s="16" t="s">
        <v>149</v>
      </c>
      <c r="X23" s="1">
        <v>0</v>
      </c>
      <c r="Y23" s="1">
        <v>0</v>
      </c>
      <c r="Z23" s="1">
        <v>0.81632700000000002</v>
      </c>
      <c r="AA23" s="1">
        <v>40</v>
      </c>
      <c r="AB23" s="1">
        <v>49</v>
      </c>
      <c r="AC23" s="1">
        <v>9</v>
      </c>
      <c r="AD23" s="1">
        <v>191</v>
      </c>
      <c r="AE23" s="1" t="s">
        <v>259</v>
      </c>
      <c r="AF23" s="1">
        <v>4852</v>
      </c>
      <c r="AG23" s="1">
        <v>386</v>
      </c>
      <c r="AH23" s="1">
        <v>12.739274</v>
      </c>
      <c r="AI23" s="1">
        <v>0</v>
      </c>
      <c r="AJ23" s="1">
        <v>0</v>
      </c>
      <c r="AK23" s="1">
        <v>0</v>
      </c>
      <c r="AL23" s="1">
        <v>0</v>
      </c>
      <c r="AM23" s="1">
        <v>30.3</v>
      </c>
      <c r="AN23" s="1">
        <v>481</v>
      </c>
      <c r="AO23" s="1">
        <v>146.9</v>
      </c>
      <c r="AP23" s="1">
        <v>142.9</v>
      </c>
      <c r="AQ23" s="1">
        <v>0</v>
      </c>
      <c r="AR23" s="1">
        <v>0</v>
      </c>
      <c r="AS23" s="1" t="s">
        <v>369</v>
      </c>
      <c r="AT23" s="1"/>
    </row>
    <row r="24" spans="1:46" ht="17" x14ac:dyDescent="0.2">
      <c r="A24" s="1" t="s">
        <v>434</v>
      </c>
      <c r="B24" s="1" t="s">
        <v>260</v>
      </c>
      <c r="C24" s="1" t="b">
        <v>1</v>
      </c>
      <c r="D24" s="1" t="b">
        <v>1</v>
      </c>
      <c r="E24" s="1">
        <v>841.9</v>
      </c>
      <c r="F24" s="1">
        <v>28</v>
      </c>
      <c r="G24" s="1">
        <v>68</v>
      </c>
      <c r="H24" s="1">
        <v>0</v>
      </c>
      <c r="I24" s="1">
        <v>1</v>
      </c>
      <c r="J24" s="1">
        <v>66</v>
      </c>
      <c r="K24" s="1">
        <v>3</v>
      </c>
      <c r="L24" s="1">
        <v>1</v>
      </c>
      <c r="M24" s="1">
        <v>0</v>
      </c>
      <c r="N24" s="1">
        <v>3</v>
      </c>
      <c r="O24" s="1">
        <v>170</v>
      </c>
      <c r="P24" s="1">
        <f t="shared" si="3"/>
        <v>73</v>
      </c>
      <c r="Q24" s="1">
        <f t="shared" si="1"/>
        <v>8.1111111111111107</v>
      </c>
      <c r="R24" s="1">
        <v>9</v>
      </c>
      <c r="S24" s="1">
        <v>8</v>
      </c>
      <c r="T24">
        <v>82</v>
      </c>
      <c r="U24" s="1">
        <v>0</v>
      </c>
      <c r="V24" s="1">
        <v>0</v>
      </c>
      <c r="W24" s="16" t="s">
        <v>149</v>
      </c>
      <c r="X24" s="1">
        <v>0</v>
      </c>
      <c r="Y24" s="1">
        <v>0</v>
      </c>
      <c r="Z24" s="1">
        <v>0.79591800000000001</v>
      </c>
      <c r="AA24" s="1">
        <v>39</v>
      </c>
      <c r="AB24" s="1">
        <v>49</v>
      </c>
      <c r="AC24" s="1">
        <v>10</v>
      </c>
      <c r="AD24" s="1">
        <v>190</v>
      </c>
      <c r="AE24" s="1" t="s">
        <v>259</v>
      </c>
      <c r="AF24" s="1">
        <v>4852</v>
      </c>
      <c r="AG24" s="1">
        <v>470</v>
      </c>
      <c r="AH24" s="1">
        <v>13.019391000000001</v>
      </c>
      <c r="AI24" s="1">
        <v>0</v>
      </c>
      <c r="AJ24" s="1">
        <v>0</v>
      </c>
      <c r="AK24" s="1">
        <v>0</v>
      </c>
      <c r="AL24" s="1">
        <v>0</v>
      </c>
      <c r="AM24" s="1">
        <v>36.1</v>
      </c>
      <c r="AN24" s="1">
        <v>508.6</v>
      </c>
      <c r="AO24" s="1">
        <v>149.6</v>
      </c>
      <c r="AP24" s="1">
        <v>147.5</v>
      </c>
      <c r="AQ24" s="1">
        <v>0.1</v>
      </c>
      <c r="AR24" s="1">
        <v>0</v>
      </c>
      <c r="AS24" s="1" t="s">
        <v>367</v>
      </c>
      <c r="AT24" s="1"/>
    </row>
    <row r="25" spans="1:46" s="17" customFormat="1" ht="17" x14ac:dyDescent="0.2">
      <c r="A25" s="12" t="s">
        <v>434</v>
      </c>
      <c r="B25" s="12" t="s">
        <v>261</v>
      </c>
      <c r="C25" s="12" t="b">
        <v>1</v>
      </c>
      <c r="D25" s="12" t="b">
        <v>1</v>
      </c>
      <c r="E25" s="12">
        <v>851.8</v>
      </c>
      <c r="F25" s="12">
        <v>31</v>
      </c>
      <c r="G25" s="12">
        <v>68</v>
      </c>
      <c r="H25" s="12">
        <v>11</v>
      </c>
      <c r="I25" s="12">
        <v>1</v>
      </c>
      <c r="J25" s="12">
        <v>70</v>
      </c>
      <c r="K25" s="12">
        <v>3</v>
      </c>
      <c r="L25" s="12">
        <v>1</v>
      </c>
      <c r="M25" s="12">
        <v>0</v>
      </c>
      <c r="N25" s="12">
        <v>3</v>
      </c>
      <c r="O25" s="12">
        <v>188</v>
      </c>
      <c r="P25" s="1">
        <f t="shared" si="3"/>
        <v>77</v>
      </c>
      <c r="Q25" s="1">
        <f t="shared" si="1"/>
        <v>11</v>
      </c>
      <c r="R25" s="12">
        <v>7</v>
      </c>
      <c r="S25" s="12">
        <v>6</v>
      </c>
      <c r="T25" s="17">
        <v>91</v>
      </c>
      <c r="U25" s="12">
        <v>0</v>
      </c>
      <c r="V25" s="12">
        <v>0</v>
      </c>
      <c r="W25" s="20" t="s">
        <v>149</v>
      </c>
      <c r="X25" s="12">
        <v>0</v>
      </c>
      <c r="Y25" s="12">
        <v>0</v>
      </c>
      <c r="Z25" s="12">
        <v>0.79591800000000001</v>
      </c>
      <c r="AA25" s="12">
        <v>39</v>
      </c>
      <c r="AB25" s="12">
        <v>49</v>
      </c>
      <c r="AC25" s="12">
        <v>10</v>
      </c>
      <c r="AD25" s="12">
        <v>200</v>
      </c>
      <c r="AE25" s="12" t="s">
        <v>259</v>
      </c>
      <c r="AF25" s="12">
        <v>4852</v>
      </c>
      <c r="AG25" s="12">
        <v>470</v>
      </c>
      <c r="AH25" s="12">
        <v>13.019391000000001</v>
      </c>
      <c r="AI25" s="12">
        <v>0</v>
      </c>
      <c r="AJ25" s="12">
        <v>0</v>
      </c>
      <c r="AK25" s="12">
        <v>0</v>
      </c>
      <c r="AL25" s="12">
        <v>0</v>
      </c>
      <c r="AM25" s="12">
        <v>36.1</v>
      </c>
      <c r="AN25" s="12">
        <v>511.4</v>
      </c>
      <c r="AO25" s="12">
        <v>147.1</v>
      </c>
      <c r="AP25" s="12">
        <v>157.1</v>
      </c>
      <c r="AQ25" s="12">
        <v>0.1</v>
      </c>
      <c r="AR25" s="12">
        <v>0</v>
      </c>
      <c r="AS25" s="12" t="s">
        <v>368</v>
      </c>
      <c r="AT25" s="12"/>
    </row>
    <row r="26" spans="1:46" ht="17" x14ac:dyDescent="0.2">
      <c r="A26" s="1" t="s">
        <v>438</v>
      </c>
      <c r="B26" s="1" t="s">
        <v>63</v>
      </c>
      <c r="C26" s="1" t="b">
        <v>1</v>
      </c>
      <c r="D26" s="1" t="b">
        <v>1</v>
      </c>
      <c r="E26" s="1" t="s">
        <v>149</v>
      </c>
      <c r="F26" s="1">
        <v>23</v>
      </c>
      <c r="G26" s="1">
        <v>56</v>
      </c>
      <c r="H26" s="1">
        <v>12</v>
      </c>
      <c r="I26" s="1">
        <v>0</v>
      </c>
      <c r="J26" s="1">
        <v>73</v>
      </c>
      <c r="K26" s="1">
        <v>6</v>
      </c>
      <c r="L26" s="1">
        <v>1</v>
      </c>
      <c r="M26" s="1">
        <v>1</v>
      </c>
      <c r="N26" s="1">
        <v>8</v>
      </c>
      <c r="O26" s="1">
        <v>180</v>
      </c>
      <c r="P26" s="1">
        <f>SUM(J26,K26,L26,M26,N26,O26)</f>
        <v>269</v>
      </c>
      <c r="Q26" s="1">
        <f t="shared" si="1"/>
        <v>24.454545454545453</v>
      </c>
      <c r="R26" s="1">
        <v>11</v>
      </c>
      <c r="S26" s="1">
        <v>24</v>
      </c>
      <c r="T26">
        <v>59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0.88461500000000004</v>
      </c>
      <c r="AA26" s="1">
        <v>23</v>
      </c>
      <c r="AB26" s="1">
        <v>26</v>
      </c>
      <c r="AC26" s="1">
        <v>3</v>
      </c>
      <c r="AD26" s="1">
        <v>153</v>
      </c>
      <c r="AE26" s="1" t="s">
        <v>259</v>
      </c>
      <c r="AF26" s="1">
        <v>4262</v>
      </c>
      <c r="AG26" s="1">
        <v>352</v>
      </c>
      <c r="AH26" s="1" t="s">
        <v>149</v>
      </c>
      <c r="AI26" s="1" t="s">
        <v>149</v>
      </c>
      <c r="AJ26" s="1" t="s">
        <v>149</v>
      </c>
      <c r="AK26" s="1" t="s">
        <v>149</v>
      </c>
      <c r="AL26" s="1" t="s">
        <v>149</v>
      </c>
      <c r="AM26" s="1" t="s">
        <v>149</v>
      </c>
      <c r="AN26" s="1" t="s">
        <v>149</v>
      </c>
      <c r="AO26" s="1" t="s">
        <v>149</v>
      </c>
      <c r="AP26" s="1" t="s">
        <v>149</v>
      </c>
      <c r="AQ26" s="1" t="s">
        <v>149</v>
      </c>
      <c r="AR26" s="1" t="s">
        <v>149</v>
      </c>
      <c r="AS26" s="1" t="s">
        <v>372</v>
      </c>
      <c r="AT26" s="1"/>
    </row>
    <row r="27" spans="1:46" ht="17" x14ac:dyDescent="0.2">
      <c r="A27" s="1" t="s">
        <v>438</v>
      </c>
      <c r="B27" s="1" t="s">
        <v>260</v>
      </c>
      <c r="C27" s="1" t="b">
        <v>1</v>
      </c>
      <c r="D27" s="1" t="b">
        <v>1</v>
      </c>
      <c r="E27" s="1">
        <v>660.9</v>
      </c>
      <c r="F27" s="1">
        <v>21</v>
      </c>
      <c r="G27" s="1">
        <v>67</v>
      </c>
      <c r="H27" s="1">
        <v>12</v>
      </c>
      <c r="I27" s="1">
        <v>2</v>
      </c>
      <c r="J27" s="1">
        <v>61</v>
      </c>
      <c r="K27" s="1">
        <v>6</v>
      </c>
      <c r="L27" s="1">
        <v>1</v>
      </c>
      <c r="M27" s="1">
        <v>1</v>
      </c>
      <c r="N27" s="1">
        <v>8</v>
      </c>
      <c r="O27" s="1">
        <v>179</v>
      </c>
      <c r="P27" s="1">
        <f t="shared" ref="P27:P28" si="4">SUM(J27,K27,L27,M27,N27,O27)</f>
        <v>256</v>
      </c>
      <c r="Q27" s="1">
        <f t="shared" si="1"/>
        <v>25.6</v>
      </c>
      <c r="R27" s="1">
        <v>10</v>
      </c>
      <c r="S27" s="1">
        <v>16</v>
      </c>
      <c r="T27">
        <v>54</v>
      </c>
      <c r="U27" s="1">
        <v>0</v>
      </c>
      <c r="V27" s="1">
        <v>0</v>
      </c>
      <c r="W27" s="1">
        <v>1</v>
      </c>
      <c r="X27" s="1">
        <v>1</v>
      </c>
      <c r="Y27" s="1">
        <v>5.587E-3</v>
      </c>
      <c r="Z27" s="1">
        <v>0.769231</v>
      </c>
      <c r="AA27" s="1">
        <v>20</v>
      </c>
      <c r="AB27" s="1">
        <v>26</v>
      </c>
      <c r="AC27" s="1">
        <v>6</v>
      </c>
      <c r="AD27" s="1">
        <v>137</v>
      </c>
      <c r="AE27" s="1" t="s">
        <v>259</v>
      </c>
      <c r="AF27" s="1">
        <v>4262</v>
      </c>
      <c r="AG27" s="1">
        <v>526</v>
      </c>
      <c r="AH27" s="1">
        <v>13.591730999999999</v>
      </c>
      <c r="AI27" s="1">
        <v>0</v>
      </c>
      <c r="AJ27" s="1">
        <v>0</v>
      </c>
      <c r="AK27" s="1">
        <v>0</v>
      </c>
      <c r="AL27" s="1">
        <v>0</v>
      </c>
      <c r="AM27" s="1">
        <v>38.700000000000003</v>
      </c>
      <c r="AN27" s="1">
        <v>227.4</v>
      </c>
      <c r="AO27" s="1">
        <v>220.4</v>
      </c>
      <c r="AP27" s="1">
        <v>174.4</v>
      </c>
      <c r="AQ27" s="1">
        <v>0</v>
      </c>
      <c r="AR27" s="1">
        <v>0</v>
      </c>
      <c r="AS27" s="1" t="s">
        <v>371</v>
      </c>
      <c r="AT27" s="1"/>
    </row>
    <row r="28" spans="1:46" s="17" customFormat="1" ht="17" x14ac:dyDescent="0.2">
      <c r="A28" s="12" t="s">
        <v>438</v>
      </c>
      <c r="B28" s="12" t="s">
        <v>262</v>
      </c>
      <c r="C28" s="12" t="b">
        <v>1</v>
      </c>
      <c r="D28" s="12" t="b">
        <v>1</v>
      </c>
      <c r="E28" s="12">
        <v>725.8</v>
      </c>
      <c r="F28" s="12">
        <v>25</v>
      </c>
      <c r="G28" s="12">
        <v>63</v>
      </c>
      <c r="H28" s="12">
        <v>11</v>
      </c>
      <c r="I28" s="12">
        <v>0</v>
      </c>
      <c r="J28" s="12">
        <v>54</v>
      </c>
      <c r="K28" s="12">
        <v>6</v>
      </c>
      <c r="L28" s="12">
        <v>1</v>
      </c>
      <c r="M28" s="12">
        <v>1</v>
      </c>
      <c r="N28" s="12">
        <v>8</v>
      </c>
      <c r="O28" s="12">
        <v>169</v>
      </c>
      <c r="P28" s="1">
        <f t="shared" si="4"/>
        <v>239</v>
      </c>
      <c r="Q28" s="1">
        <f t="shared" si="1"/>
        <v>39.833333333333336</v>
      </c>
      <c r="R28" s="12">
        <v>6</v>
      </c>
      <c r="S28" s="12">
        <v>0</v>
      </c>
      <c r="T28" s="17">
        <v>66</v>
      </c>
      <c r="U28" s="12">
        <v>0</v>
      </c>
      <c r="V28" s="12">
        <v>0</v>
      </c>
      <c r="W28" s="12">
        <v>1</v>
      </c>
      <c r="X28" s="12">
        <v>0</v>
      </c>
      <c r="Y28" s="12">
        <v>0</v>
      </c>
      <c r="Z28" s="12">
        <v>0.88461500000000004</v>
      </c>
      <c r="AA28" s="12">
        <v>23</v>
      </c>
      <c r="AB28" s="12">
        <v>26</v>
      </c>
      <c r="AC28" s="12">
        <v>3</v>
      </c>
      <c r="AD28" s="12">
        <v>165</v>
      </c>
      <c r="AE28" s="12" t="s">
        <v>259</v>
      </c>
      <c r="AF28" s="12">
        <v>4262</v>
      </c>
      <c r="AG28" s="12">
        <v>353</v>
      </c>
      <c r="AH28" s="12">
        <v>12.51773</v>
      </c>
      <c r="AI28" s="12">
        <v>0</v>
      </c>
      <c r="AJ28" s="12">
        <v>0</v>
      </c>
      <c r="AK28" s="12">
        <v>0.1</v>
      </c>
      <c r="AL28" s="12">
        <v>0</v>
      </c>
      <c r="AM28" s="12">
        <v>28.2</v>
      </c>
      <c r="AN28" s="12">
        <v>292.8</v>
      </c>
      <c r="AO28" s="12">
        <v>142.6</v>
      </c>
      <c r="AP28" s="12">
        <v>262.10000000000002</v>
      </c>
      <c r="AQ28" s="12">
        <v>0</v>
      </c>
      <c r="AR28" s="12">
        <v>0</v>
      </c>
      <c r="AS28" s="12" t="s">
        <v>370</v>
      </c>
      <c r="AT28" s="1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5C24-0899-0146-B100-BC68096EFCA9}">
  <dimension ref="A1:AS18"/>
  <sheetViews>
    <sheetView zoomScale="125" workbookViewId="0">
      <pane xSplit="2440" activePane="topRight"/>
      <selection sqref="A1:XFD1048576"/>
      <selection pane="topRight" activeCell="A2" sqref="A2"/>
    </sheetView>
  </sheetViews>
  <sheetFormatPr baseColWidth="10" defaultColWidth="10.6640625" defaultRowHeight="16" x14ac:dyDescent="0.2"/>
  <cols>
    <col min="1" max="1" width="12.33203125" bestFit="1" customWidth="1"/>
    <col min="2" max="2" width="11.83203125" bestFit="1" customWidth="1"/>
    <col min="3" max="3" width="22.6640625" bestFit="1" customWidth="1"/>
    <col min="4" max="4" width="28" bestFit="1" customWidth="1"/>
    <col min="5" max="5" width="20.6640625" bestFit="1" customWidth="1"/>
    <col min="6" max="6" width="17.5" bestFit="1" customWidth="1"/>
    <col min="7" max="7" width="19" bestFit="1" customWidth="1"/>
    <col min="8" max="8" width="19.33203125" bestFit="1" customWidth="1"/>
    <col min="9" max="9" width="20.83203125" bestFit="1" customWidth="1"/>
    <col min="10" max="10" width="23.83203125" bestFit="1" customWidth="1"/>
    <col min="11" max="11" width="27.33203125" bestFit="1" customWidth="1"/>
    <col min="12" max="12" width="28.5" bestFit="1" customWidth="1"/>
    <col min="13" max="13" width="20.33203125" bestFit="1" customWidth="1"/>
    <col min="14" max="14" width="25.6640625" bestFit="1" customWidth="1"/>
    <col min="15" max="15" width="24.83203125" bestFit="1" customWidth="1"/>
    <col min="16" max="16" width="24.6640625" bestFit="1" customWidth="1"/>
    <col min="17" max="17" width="28.83203125" bestFit="1" customWidth="1"/>
    <col min="18" max="18" width="28" bestFit="1" customWidth="1"/>
    <col min="19" max="19" width="24.83203125" bestFit="1" customWidth="1"/>
    <col min="20" max="20" width="23.33203125" bestFit="1" customWidth="1"/>
    <col min="21" max="21" width="27.33203125" bestFit="1" customWidth="1"/>
    <col min="22" max="22" width="13.33203125" bestFit="1" customWidth="1"/>
    <col min="23" max="23" width="24.6640625" bestFit="1" customWidth="1"/>
    <col min="24" max="24" width="27.1640625" bestFit="1" customWidth="1"/>
    <col min="25" max="25" width="23.33203125" bestFit="1" customWidth="1"/>
    <col min="26" max="26" width="30.1640625" bestFit="1" customWidth="1"/>
    <col min="27" max="27" width="23.6640625" bestFit="1" customWidth="1"/>
    <col min="28" max="28" width="23.83203125" bestFit="1" customWidth="1"/>
    <col min="29" max="29" width="23.1640625" bestFit="1" customWidth="1"/>
    <col min="30" max="30" width="28.6640625" bestFit="1" customWidth="1"/>
    <col min="31" max="31" width="17.83203125" bestFit="1" customWidth="1"/>
    <col min="32" max="32" width="13.1640625" bestFit="1" customWidth="1"/>
    <col min="33" max="33" width="23.6640625" bestFit="1" customWidth="1"/>
    <col min="34" max="34" width="23.83203125" bestFit="1" customWidth="1"/>
    <col min="35" max="35" width="23.1640625" bestFit="1" customWidth="1"/>
    <col min="36" max="36" width="28.6640625" bestFit="1" customWidth="1"/>
    <col min="37" max="37" width="17.83203125" bestFit="1" customWidth="1"/>
    <col min="38" max="38" width="27.1640625" bestFit="1" customWidth="1"/>
    <col min="39" max="39" width="23.33203125" bestFit="1" customWidth="1"/>
    <col min="40" max="40" width="30.1640625" bestFit="1" customWidth="1"/>
    <col min="41" max="41" width="23.6640625" bestFit="1" customWidth="1"/>
    <col min="42" max="42" width="23.83203125" bestFit="1" customWidth="1"/>
    <col min="43" max="43" width="23.1640625" bestFit="1" customWidth="1"/>
    <col min="44" max="44" width="28.6640625" bestFit="1" customWidth="1"/>
    <col min="45" max="45" width="17.83203125" bestFit="1" customWidth="1"/>
  </cols>
  <sheetData>
    <row r="1" spans="1:45" ht="17" x14ac:dyDescent="0.2">
      <c r="A1" s="4" t="s">
        <v>0</v>
      </c>
      <c r="B1" s="4" t="s">
        <v>243</v>
      </c>
      <c r="C1" s="4" t="s">
        <v>244</v>
      </c>
      <c r="D1" s="4" t="s">
        <v>245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246</v>
      </c>
      <c r="J1" s="4" t="s">
        <v>247</v>
      </c>
      <c r="K1" s="4" t="s">
        <v>248</v>
      </c>
      <c r="L1" s="4" t="s">
        <v>249</v>
      </c>
      <c r="M1" s="4" t="s">
        <v>250</v>
      </c>
      <c r="N1" s="4" t="s">
        <v>251</v>
      </c>
      <c r="O1" s="4" t="s">
        <v>252</v>
      </c>
      <c r="P1" s="4" t="s">
        <v>253</v>
      </c>
      <c r="Q1" s="4" t="s">
        <v>254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76</v>
      </c>
      <c r="X1" s="4" t="s">
        <v>142</v>
      </c>
      <c r="Y1" s="4" t="s">
        <v>143</v>
      </c>
      <c r="Z1" s="4" t="s">
        <v>144</v>
      </c>
      <c r="AA1" s="4" t="s">
        <v>255</v>
      </c>
      <c r="AB1" s="4" t="s">
        <v>256</v>
      </c>
      <c r="AC1" s="4" t="s">
        <v>257</v>
      </c>
      <c r="AD1" s="4" t="s">
        <v>258</v>
      </c>
      <c r="AE1" s="4" t="s">
        <v>40</v>
      </c>
      <c r="AG1" s="4" t="s">
        <v>255</v>
      </c>
      <c r="AH1" s="4" t="s">
        <v>256</v>
      </c>
      <c r="AI1" s="4" t="s">
        <v>257</v>
      </c>
      <c r="AJ1" s="4" t="s">
        <v>258</v>
      </c>
      <c r="AK1" s="4" t="s">
        <v>40</v>
      </c>
      <c r="AM1" s="4"/>
      <c r="AN1" s="4"/>
      <c r="AO1" s="4"/>
      <c r="AP1" s="4"/>
      <c r="AQ1" s="4"/>
      <c r="AR1" s="4"/>
      <c r="AS1" s="4"/>
    </row>
    <row r="2" spans="1:45" ht="17" x14ac:dyDescent="0.2">
      <c r="A2" s="1" t="s">
        <v>406</v>
      </c>
      <c r="B2" s="1">
        <v>3</v>
      </c>
      <c r="C2" s="1">
        <v>1</v>
      </c>
      <c r="D2" s="1">
        <v>1</v>
      </c>
      <c r="E2" s="1">
        <v>818.56666700000005</v>
      </c>
      <c r="F2" s="1">
        <v>23.547681999999998</v>
      </c>
      <c r="G2" s="1">
        <v>800.9</v>
      </c>
      <c r="H2" s="1">
        <v>845.3</v>
      </c>
      <c r="I2" s="1">
        <v>29.666667</v>
      </c>
      <c r="J2" s="1">
        <v>61.333333000000003</v>
      </c>
      <c r="K2" s="1">
        <v>12.333333</v>
      </c>
      <c r="L2" s="1">
        <v>0</v>
      </c>
      <c r="M2" s="1">
        <v>67.666667000000004</v>
      </c>
      <c r="N2" s="1">
        <v>3</v>
      </c>
      <c r="O2" s="1">
        <v>1</v>
      </c>
      <c r="P2" s="1">
        <v>0</v>
      </c>
      <c r="Q2" s="1">
        <v>4</v>
      </c>
      <c r="R2" s="1">
        <v>179</v>
      </c>
      <c r="S2" s="1">
        <v>2</v>
      </c>
      <c r="T2" s="1">
        <v>2</v>
      </c>
      <c r="U2" s="1">
        <v>1.1174E-2</v>
      </c>
      <c r="V2" s="1" t="s">
        <v>260</v>
      </c>
      <c r="W2" s="1">
        <v>0.66060600000000003</v>
      </c>
      <c r="X2" s="1">
        <v>36.333333000000003</v>
      </c>
      <c r="Y2" s="1">
        <v>55</v>
      </c>
      <c r="Z2" s="1">
        <v>18.666667</v>
      </c>
      <c r="AA2" s="1">
        <v>180</v>
      </c>
      <c r="AB2" s="1">
        <v>5525</v>
      </c>
      <c r="AC2" s="1">
        <v>418</v>
      </c>
      <c r="AD2" s="1">
        <v>12.342829999999999</v>
      </c>
      <c r="AE2" s="1"/>
      <c r="AF2" s="1">
        <v>180</v>
      </c>
      <c r="AG2" s="1">
        <v>5525</v>
      </c>
      <c r="AH2" s="1">
        <v>418</v>
      </c>
      <c r="AI2" s="1">
        <v>12.342829999999999</v>
      </c>
      <c r="AJ2" s="1">
        <v>12.342829999999999</v>
      </c>
      <c r="AK2" s="1"/>
      <c r="AL2" s="1"/>
      <c r="AM2" s="1"/>
      <c r="AN2" s="1"/>
      <c r="AO2" s="1"/>
      <c r="AP2" s="1"/>
      <c r="AQ2" s="1"/>
      <c r="AR2" s="1"/>
    </row>
    <row r="3" spans="1:45" ht="17" x14ac:dyDescent="0.2">
      <c r="A3" s="1" t="s">
        <v>410</v>
      </c>
      <c r="B3" s="1">
        <v>3</v>
      </c>
      <c r="C3" s="1">
        <v>1</v>
      </c>
      <c r="D3" s="1">
        <v>1</v>
      </c>
      <c r="E3" s="1">
        <v>724.86666700000001</v>
      </c>
      <c r="F3" s="1">
        <v>11.015141</v>
      </c>
      <c r="G3" s="1">
        <v>714.2</v>
      </c>
      <c r="H3" s="1">
        <v>736.2</v>
      </c>
      <c r="I3" s="1">
        <v>28</v>
      </c>
      <c r="J3" s="1">
        <v>55.333333000000003</v>
      </c>
      <c r="K3" s="1">
        <v>8.6666670000000003</v>
      </c>
      <c r="L3" s="1">
        <v>0</v>
      </c>
      <c r="M3" s="1">
        <v>63</v>
      </c>
      <c r="N3" s="1">
        <v>3.6666669999999999</v>
      </c>
      <c r="O3" s="1">
        <v>0.66666700000000001</v>
      </c>
      <c r="P3" s="1">
        <v>0</v>
      </c>
      <c r="Q3" s="1">
        <v>6.3333329999999997</v>
      </c>
      <c r="R3" s="1">
        <v>165.66666699999999</v>
      </c>
      <c r="S3" s="1">
        <v>10.408329999999999</v>
      </c>
      <c r="T3" s="1">
        <v>0</v>
      </c>
      <c r="U3" s="1">
        <v>0</v>
      </c>
      <c r="V3" s="1" t="s">
        <v>262</v>
      </c>
      <c r="W3" s="1">
        <v>0.84666699999999995</v>
      </c>
      <c r="X3" s="1">
        <v>42.333333000000003</v>
      </c>
      <c r="Y3" s="1">
        <v>50</v>
      </c>
      <c r="Z3" s="1">
        <v>7.6666670000000003</v>
      </c>
      <c r="AA3" s="1">
        <v>172.33333300000001</v>
      </c>
      <c r="AB3" s="1">
        <v>5916</v>
      </c>
      <c r="AC3" s="1">
        <v>233</v>
      </c>
      <c r="AD3" s="1">
        <v>10.530552999999999</v>
      </c>
      <c r="AE3" s="1"/>
      <c r="AF3" s="1">
        <v>172.33333300000001</v>
      </c>
      <c r="AG3" s="1">
        <v>5916</v>
      </c>
      <c r="AH3" s="1">
        <v>233</v>
      </c>
      <c r="AI3" s="1">
        <v>10.530552999999999</v>
      </c>
      <c r="AJ3" s="1">
        <v>10.530552999999999</v>
      </c>
      <c r="AK3" s="1"/>
      <c r="AL3" s="1"/>
      <c r="AM3" s="1"/>
      <c r="AN3" s="1"/>
      <c r="AO3" s="1"/>
      <c r="AP3" s="1"/>
      <c r="AQ3" s="1"/>
      <c r="AR3" s="1"/>
    </row>
    <row r="4" spans="1:45" ht="17" x14ac:dyDescent="0.2">
      <c r="A4" s="1" t="s">
        <v>414</v>
      </c>
      <c r="B4" s="1">
        <v>3</v>
      </c>
      <c r="C4" s="1">
        <v>1</v>
      </c>
      <c r="D4" s="1">
        <v>0.66666700000000001</v>
      </c>
      <c r="E4" s="1">
        <v>788.3</v>
      </c>
      <c r="F4" s="1">
        <v>51.764949999999999</v>
      </c>
      <c r="G4" s="1">
        <v>742.2</v>
      </c>
      <c r="H4" s="1">
        <v>844.3</v>
      </c>
      <c r="I4" s="1">
        <v>27</v>
      </c>
      <c r="J4" s="1">
        <v>63</v>
      </c>
      <c r="K4" s="1">
        <v>3.6666669999999999</v>
      </c>
      <c r="L4" s="1">
        <v>2</v>
      </c>
      <c r="M4" s="1">
        <v>62.666666999999997</v>
      </c>
      <c r="N4" s="1">
        <v>3.6666669999999999</v>
      </c>
      <c r="O4" s="1">
        <v>1.3333330000000001</v>
      </c>
      <c r="P4" s="1">
        <v>0</v>
      </c>
      <c r="Q4" s="1">
        <v>4</v>
      </c>
      <c r="R4" s="1">
        <v>167.33333300000001</v>
      </c>
      <c r="S4" s="1">
        <v>20.744477</v>
      </c>
      <c r="T4" s="1">
        <v>0</v>
      </c>
      <c r="U4" s="1">
        <v>0</v>
      </c>
      <c r="V4" s="1" t="s">
        <v>260</v>
      </c>
      <c r="W4" s="1">
        <v>0.49659900000000001</v>
      </c>
      <c r="X4" s="1">
        <v>24.333333</v>
      </c>
      <c r="Y4" s="1">
        <v>49</v>
      </c>
      <c r="Z4" s="1">
        <v>24.666667</v>
      </c>
      <c r="AA4" s="1">
        <v>177</v>
      </c>
      <c r="AB4" s="1">
        <v>5659</v>
      </c>
      <c r="AC4" s="1">
        <v>287</v>
      </c>
      <c r="AD4" s="1">
        <v>11.329572000000001</v>
      </c>
      <c r="AE4" s="1"/>
      <c r="AF4" s="1">
        <v>177</v>
      </c>
      <c r="AG4" s="1">
        <v>5659</v>
      </c>
      <c r="AH4" s="1">
        <v>287</v>
      </c>
      <c r="AI4" s="1">
        <v>11.329572000000001</v>
      </c>
      <c r="AJ4" s="1">
        <v>11.329572000000001</v>
      </c>
      <c r="AK4" s="1"/>
      <c r="AL4" s="1"/>
      <c r="AM4" s="1"/>
      <c r="AN4" s="1"/>
      <c r="AO4" s="1"/>
      <c r="AP4" s="1"/>
      <c r="AQ4" s="1"/>
      <c r="AR4" s="1"/>
    </row>
    <row r="5" spans="1:45" ht="17" x14ac:dyDescent="0.2">
      <c r="A5" s="1" t="s">
        <v>418</v>
      </c>
      <c r="B5" s="1">
        <v>3</v>
      </c>
      <c r="C5" s="1">
        <v>1</v>
      </c>
      <c r="D5" s="1">
        <v>1</v>
      </c>
      <c r="E5" s="1">
        <v>829.23333300000002</v>
      </c>
      <c r="F5" s="1">
        <v>31.466543000000001</v>
      </c>
      <c r="G5" s="1">
        <v>799.8</v>
      </c>
      <c r="H5" s="1">
        <v>862.4</v>
      </c>
      <c r="I5" s="1">
        <v>23.666667</v>
      </c>
      <c r="J5" s="1">
        <v>53.333333000000003</v>
      </c>
      <c r="K5" s="1">
        <v>11.333333</v>
      </c>
      <c r="L5" s="1">
        <v>1</v>
      </c>
      <c r="M5" s="1">
        <v>57.666666999999997</v>
      </c>
      <c r="N5" s="1">
        <v>3.6666669999999999</v>
      </c>
      <c r="O5" s="1">
        <v>1.3333330000000001</v>
      </c>
      <c r="P5" s="1">
        <v>0</v>
      </c>
      <c r="Q5" s="1">
        <v>6.3333329999999997</v>
      </c>
      <c r="R5" s="1">
        <v>158.33333300000001</v>
      </c>
      <c r="S5" s="1">
        <v>4.6188019999999996</v>
      </c>
      <c r="T5" s="1">
        <v>2.6666669999999999</v>
      </c>
      <c r="U5" s="1">
        <v>1.6888E-2</v>
      </c>
      <c r="V5" s="1" t="s">
        <v>261</v>
      </c>
      <c r="W5" s="1">
        <v>0.640212</v>
      </c>
      <c r="X5" s="1">
        <v>40.333333000000003</v>
      </c>
      <c r="Y5" s="1">
        <v>63</v>
      </c>
      <c r="Z5" s="1">
        <v>22.666667</v>
      </c>
      <c r="AA5" s="1">
        <v>182</v>
      </c>
      <c r="AB5" s="1">
        <v>5722</v>
      </c>
      <c r="AC5" s="1">
        <v>492.66666700000002</v>
      </c>
      <c r="AD5" s="1">
        <v>12.721097</v>
      </c>
      <c r="AE5" s="1"/>
      <c r="AF5" s="1">
        <v>182</v>
      </c>
      <c r="AG5" s="1">
        <v>5722</v>
      </c>
      <c r="AH5" s="1">
        <v>492.66666700000002</v>
      </c>
      <c r="AI5" s="1">
        <v>12.721097</v>
      </c>
      <c r="AJ5" s="1">
        <v>12.721097</v>
      </c>
      <c r="AK5" s="1"/>
      <c r="AL5" s="1"/>
      <c r="AM5" s="1"/>
      <c r="AN5" s="1"/>
      <c r="AO5" s="1"/>
      <c r="AP5" s="1"/>
      <c r="AQ5" s="1"/>
      <c r="AR5" s="1"/>
    </row>
    <row r="6" spans="1:45" ht="17" x14ac:dyDescent="0.2">
      <c r="A6" s="1" t="s">
        <v>422</v>
      </c>
      <c r="B6" s="1">
        <v>3</v>
      </c>
      <c r="C6" s="1">
        <v>1</v>
      </c>
      <c r="D6" s="1">
        <v>1</v>
      </c>
      <c r="E6" s="1">
        <v>830.4</v>
      </c>
      <c r="F6" s="1">
        <v>29.053227</v>
      </c>
      <c r="G6" s="1">
        <v>801.1</v>
      </c>
      <c r="H6" s="1">
        <v>859.2</v>
      </c>
      <c r="I6" s="1">
        <v>26.666667</v>
      </c>
      <c r="J6" s="1">
        <v>52.333333000000003</v>
      </c>
      <c r="K6" s="1">
        <v>7.6666670000000003</v>
      </c>
      <c r="L6" s="1">
        <v>0</v>
      </c>
      <c r="M6" s="1">
        <v>57.333333000000003</v>
      </c>
      <c r="N6" s="1">
        <v>6.6666670000000003</v>
      </c>
      <c r="O6" s="1">
        <v>1</v>
      </c>
      <c r="P6" s="1">
        <v>1</v>
      </c>
      <c r="Q6" s="1">
        <v>3</v>
      </c>
      <c r="R6" s="1">
        <v>155.66666699999999</v>
      </c>
      <c r="S6" s="1">
        <v>3.7859389999999999</v>
      </c>
      <c r="T6" s="1">
        <v>1.3333330000000001</v>
      </c>
      <c r="U6" s="1">
        <v>8.5240000000000003E-3</v>
      </c>
      <c r="V6" s="1" t="s">
        <v>75</v>
      </c>
      <c r="W6" s="1">
        <v>0.69629600000000003</v>
      </c>
      <c r="X6" s="1">
        <v>31.333333</v>
      </c>
      <c r="Y6" s="1">
        <v>45</v>
      </c>
      <c r="Z6" s="1">
        <v>13.666667</v>
      </c>
      <c r="AA6" s="1">
        <v>161</v>
      </c>
      <c r="AB6" s="1">
        <v>5448</v>
      </c>
      <c r="AC6" s="1">
        <v>484</v>
      </c>
      <c r="AD6" s="1">
        <v>11.970561999999999</v>
      </c>
      <c r="AE6" s="1"/>
      <c r="AF6" s="1">
        <v>161</v>
      </c>
      <c r="AG6" s="1">
        <v>5448</v>
      </c>
      <c r="AH6" s="1">
        <v>484</v>
      </c>
      <c r="AI6" s="1">
        <v>11.970561999999999</v>
      </c>
      <c r="AJ6" s="1">
        <v>11.970561999999999</v>
      </c>
      <c r="AK6" s="1"/>
      <c r="AL6" s="1"/>
      <c r="AM6" s="1"/>
      <c r="AN6" s="1"/>
      <c r="AO6" s="1"/>
      <c r="AP6" s="1"/>
      <c r="AQ6" s="1"/>
      <c r="AR6" s="1"/>
    </row>
    <row r="7" spans="1:45" ht="17" x14ac:dyDescent="0.2">
      <c r="A7" s="1" t="s">
        <v>426</v>
      </c>
      <c r="B7" s="1">
        <v>3</v>
      </c>
      <c r="C7" s="1">
        <v>1</v>
      </c>
      <c r="D7" s="1">
        <v>1</v>
      </c>
      <c r="E7" s="1">
        <v>787.9</v>
      </c>
      <c r="F7" s="1">
        <v>24.918265999999999</v>
      </c>
      <c r="G7" s="1">
        <v>761.3</v>
      </c>
      <c r="H7" s="1">
        <v>810.7</v>
      </c>
      <c r="I7" s="1">
        <v>22</v>
      </c>
      <c r="J7" s="1">
        <v>51.666666999999997</v>
      </c>
      <c r="K7" s="1">
        <v>10.333333</v>
      </c>
      <c r="L7" s="1">
        <v>0</v>
      </c>
      <c r="M7" s="1">
        <v>67.333332999999996</v>
      </c>
      <c r="N7" s="1">
        <v>5</v>
      </c>
      <c r="O7" s="1">
        <v>2</v>
      </c>
      <c r="P7" s="1">
        <v>0</v>
      </c>
      <c r="Q7" s="1">
        <v>4.6666670000000003</v>
      </c>
      <c r="R7" s="1">
        <v>163</v>
      </c>
      <c r="S7" s="1">
        <v>10.148892</v>
      </c>
      <c r="T7" s="1">
        <v>0</v>
      </c>
      <c r="U7" s="1">
        <v>0</v>
      </c>
      <c r="V7" s="1" t="s">
        <v>63</v>
      </c>
      <c r="W7" s="1">
        <v>0.877193</v>
      </c>
      <c r="X7" s="1">
        <v>50</v>
      </c>
      <c r="Y7" s="1">
        <v>57</v>
      </c>
      <c r="Z7" s="1">
        <v>7</v>
      </c>
      <c r="AA7" s="1">
        <v>155.66666699999999</v>
      </c>
      <c r="AB7" s="1">
        <v>5914</v>
      </c>
      <c r="AC7" s="1">
        <v>306.66666700000002</v>
      </c>
      <c r="AD7" s="1">
        <v>10.604837</v>
      </c>
      <c r="AE7" s="1"/>
      <c r="AF7" s="1">
        <v>155.66666699999999</v>
      </c>
      <c r="AG7" s="1">
        <v>5914</v>
      </c>
      <c r="AH7" s="1">
        <v>306.66666700000002</v>
      </c>
      <c r="AI7" s="1">
        <v>10.604837</v>
      </c>
      <c r="AJ7" s="1">
        <v>10.604837</v>
      </c>
      <c r="AK7" s="1"/>
      <c r="AL7" s="1"/>
      <c r="AM7" s="1"/>
      <c r="AN7" s="1"/>
      <c r="AO7" s="1"/>
      <c r="AP7" s="1"/>
      <c r="AQ7" s="1"/>
      <c r="AR7" s="1"/>
    </row>
    <row r="8" spans="1:45" ht="17" x14ac:dyDescent="0.2">
      <c r="A8" s="1" t="s">
        <v>430</v>
      </c>
      <c r="B8" s="1">
        <v>3</v>
      </c>
      <c r="C8" s="1">
        <v>1</v>
      </c>
      <c r="D8" s="1">
        <v>1</v>
      </c>
      <c r="E8" s="1">
        <v>867.86666700000001</v>
      </c>
      <c r="F8" s="1">
        <v>19.299309000000001</v>
      </c>
      <c r="G8" s="1">
        <v>845.9</v>
      </c>
      <c r="H8" s="1">
        <v>882.1</v>
      </c>
      <c r="I8" s="1">
        <v>26</v>
      </c>
      <c r="J8" s="1">
        <v>61</v>
      </c>
      <c r="K8" s="1">
        <v>1</v>
      </c>
      <c r="L8" s="1">
        <v>0</v>
      </c>
      <c r="M8" s="1">
        <v>67.666667000000004</v>
      </c>
      <c r="N8" s="1">
        <v>3.3333330000000001</v>
      </c>
      <c r="O8" s="1">
        <v>1.3333330000000001</v>
      </c>
      <c r="P8" s="1">
        <v>0</v>
      </c>
      <c r="Q8" s="1">
        <v>4</v>
      </c>
      <c r="R8" s="1">
        <v>164.33333300000001</v>
      </c>
      <c r="S8" s="1">
        <v>2.0816659999999998</v>
      </c>
      <c r="T8" s="1">
        <v>2</v>
      </c>
      <c r="U8" s="1">
        <v>1.2172000000000001E-2</v>
      </c>
      <c r="V8" s="1" t="s">
        <v>263</v>
      </c>
      <c r="W8" s="1">
        <v>0.83739799999999998</v>
      </c>
      <c r="X8" s="1">
        <v>68.666667000000004</v>
      </c>
      <c r="Y8" s="1">
        <v>82</v>
      </c>
      <c r="Z8" s="1">
        <v>13.333333</v>
      </c>
      <c r="AA8" s="1">
        <v>175</v>
      </c>
      <c r="AB8" s="1">
        <v>7599</v>
      </c>
      <c r="AC8" s="1">
        <v>446.66666700000002</v>
      </c>
      <c r="AD8" s="1">
        <v>11.784224999999999</v>
      </c>
      <c r="AE8" s="1"/>
      <c r="AF8" s="1">
        <v>175</v>
      </c>
      <c r="AG8" s="1">
        <v>7599</v>
      </c>
      <c r="AH8" s="1">
        <v>446.66666700000002</v>
      </c>
      <c r="AI8" s="1">
        <v>11.784224999999999</v>
      </c>
      <c r="AJ8" s="1">
        <v>11.784224999999999</v>
      </c>
      <c r="AK8" s="1"/>
      <c r="AL8" s="1"/>
      <c r="AM8" s="1"/>
      <c r="AN8" s="1"/>
      <c r="AO8" s="1"/>
      <c r="AP8" s="1"/>
      <c r="AQ8" s="1"/>
      <c r="AR8" s="1"/>
    </row>
    <row r="9" spans="1:45" ht="17" x14ac:dyDescent="0.2">
      <c r="A9" s="1" t="s">
        <v>434</v>
      </c>
      <c r="B9" s="1">
        <v>3</v>
      </c>
      <c r="C9" s="1">
        <v>1</v>
      </c>
      <c r="D9" s="1">
        <v>1</v>
      </c>
      <c r="E9" s="1">
        <v>831.6</v>
      </c>
      <c r="F9" s="1">
        <v>26.873593</v>
      </c>
      <c r="G9" s="1">
        <v>801.1</v>
      </c>
      <c r="H9" s="1">
        <v>851.8</v>
      </c>
      <c r="I9" s="1">
        <v>28.333333</v>
      </c>
      <c r="J9" s="1">
        <v>65.666667000000004</v>
      </c>
      <c r="K9" s="1">
        <v>7.6666670000000003</v>
      </c>
      <c r="L9" s="1">
        <v>1</v>
      </c>
      <c r="M9" s="1">
        <v>66</v>
      </c>
      <c r="N9" s="1">
        <v>3</v>
      </c>
      <c r="O9" s="1">
        <v>1.3333330000000001</v>
      </c>
      <c r="P9" s="1">
        <v>0</v>
      </c>
      <c r="Q9" s="1">
        <v>3</v>
      </c>
      <c r="R9" s="1">
        <v>176</v>
      </c>
      <c r="S9" s="1">
        <v>10.392305</v>
      </c>
      <c r="T9" s="1">
        <v>0</v>
      </c>
      <c r="U9" s="1">
        <v>0</v>
      </c>
      <c r="V9" s="1" t="s">
        <v>63</v>
      </c>
      <c r="W9" s="1">
        <v>0.80272100000000002</v>
      </c>
      <c r="X9" s="1">
        <v>39.333333000000003</v>
      </c>
      <c r="Y9" s="1">
        <v>49</v>
      </c>
      <c r="Z9" s="1">
        <v>9.6666670000000003</v>
      </c>
      <c r="AA9" s="1">
        <v>193.66666699999999</v>
      </c>
      <c r="AB9" s="1">
        <v>4852</v>
      </c>
      <c r="AC9" s="1">
        <v>442</v>
      </c>
      <c r="AD9" s="1">
        <v>12.926017999999999</v>
      </c>
      <c r="AE9" s="1"/>
      <c r="AF9" s="1">
        <v>193.66666699999999</v>
      </c>
      <c r="AG9" s="1">
        <v>4852</v>
      </c>
      <c r="AH9" s="1">
        <v>442</v>
      </c>
      <c r="AI9" s="1">
        <v>12.926017999999999</v>
      </c>
      <c r="AJ9" s="1">
        <v>12.926017999999999</v>
      </c>
      <c r="AK9" s="1"/>
      <c r="AL9" s="1"/>
      <c r="AM9" s="1"/>
      <c r="AN9" s="1"/>
      <c r="AO9" s="1"/>
      <c r="AP9" s="1"/>
      <c r="AQ9" s="1"/>
      <c r="AR9" s="1"/>
    </row>
    <row r="10" spans="1:45" ht="17" x14ac:dyDescent="0.2">
      <c r="A10" s="1" t="s">
        <v>438</v>
      </c>
      <c r="B10" s="1">
        <v>3</v>
      </c>
      <c r="C10" s="1">
        <v>1</v>
      </c>
      <c r="D10" s="1">
        <v>1</v>
      </c>
      <c r="E10" s="1">
        <v>693.35</v>
      </c>
      <c r="F10" s="1">
        <v>45.89123</v>
      </c>
      <c r="G10" s="1">
        <v>660.9</v>
      </c>
      <c r="H10" s="1">
        <v>725.8</v>
      </c>
      <c r="I10" s="1">
        <v>23</v>
      </c>
      <c r="J10" s="1">
        <v>62</v>
      </c>
      <c r="K10" s="1">
        <v>11.666667</v>
      </c>
      <c r="L10" s="1">
        <v>0.66666700000000001</v>
      </c>
      <c r="M10" s="1">
        <v>62.666666999999997</v>
      </c>
      <c r="N10" s="1">
        <v>6</v>
      </c>
      <c r="O10" s="1">
        <v>1</v>
      </c>
      <c r="P10" s="1">
        <v>1</v>
      </c>
      <c r="Q10" s="1">
        <v>8</v>
      </c>
      <c r="R10" s="1">
        <v>176</v>
      </c>
      <c r="S10" s="1">
        <v>6.0827629999999999</v>
      </c>
      <c r="T10" s="1">
        <v>0.33333299999999999</v>
      </c>
      <c r="U10" s="1">
        <v>1.8619999999999999E-3</v>
      </c>
      <c r="V10" s="1" t="s">
        <v>262</v>
      </c>
      <c r="W10" s="1">
        <v>0.84615399999999996</v>
      </c>
      <c r="X10" s="1">
        <v>22</v>
      </c>
      <c r="Y10" s="1">
        <v>26</v>
      </c>
      <c r="Z10" s="1">
        <v>4</v>
      </c>
      <c r="AA10" s="1">
        <v>151.66666699999999</v>
      </c>
      <c r="AB10" s="1">
        <v>4262</v>
      </c>
      <c r="AC10" s="1">
        <v>410.33333299999998</v>
      </c>
      <c r="AD10" s="1">
        <v>13.054731</v>
      </c>
      <c r="AE10" s="1"/>
      <c r="AF10" s="1">
        <v>151.66666699999999</v>
      </c>
      <c r="AG10" s="1">
        <v>4262</v>
      </c>
      <c r="AH10" s="1">
        <v>410.33333299999998</v>
      </c>
      <c r="AI10" s="1">
        <v>13.054731</v>
      </c>
      <c r="AJ10" s="1">
        <v>13.054731</v>
      </c>
      <c r="AK10" s="1"/>
      <c r="AL10" s="1"/>
      <c r="AM10" s="1"/>
      <c r="AN10" s="1"/>
      <c r="AO10" s="1"/>
      <c r="AP10" s="1"/>
      <c r="AQ10" s="1"/>
      <c r="AR10" s="1"/>
    </row>
    <row r="17" spans="1:25" ht="17" x14ac:dyDescent="0.2">
      <c r="A17" s="13"/>
      <c r="B17" s="13"/>
      <c r="C17" s="14"/>
      <c r="D17" s="14"/>
      <c r="E17" s="13"/>
      <c r="F17" s="15"/>
      <c r="G17" s="15"/>
      <c r="H17" s="14"/>
      <c r="I17" s="14"/>
      <c r="J17" s="14"/>
      <c r="K17" s="14"/>
      <c r="L17" s="14"/>
      <c r="M17" s="14"/>
      <c r="N17" s="14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17" x14ac:dyDescent="0.2">
      <c r="A18" s="13"/>
      <c r="B18" s="13"/>
      <c r="C18" s="14"/>
      <c r="D18" s="14"/>
      <c r="E18" s="13"/>
      <c r="F18" s="15"/>
      <c r="G18" s="15"/>
      <c r="H18" s="14"/>
      <c r="I18" s="14"/>
      <c r="J18" s="14"/>
      <c r="K18" s="14"/>
      <c r="L18" s="14"/>
      <c r="M18" s="14"/>
      <c r="N18" s="14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2D92-E5B3-E543-9095-4FDDD4D9187B}">
  <dimension ref="A1:K37"/>
  <sheetViews>
    <sheetView workbookViewId="0">
      <selection activeCell="A2" sqref="A2"/>
    </sheetView>
  </sheetViews>
  <sheetFormatPr baseColWidth="10" defaultRowHeight="16" x14ac:dyDescent="0.2"/>
  <cols>
    <col min="1" max="1" width="12.33203125" bestFit="1" customWidth="1"/>
    <col min="2" max="2" width="7.83203125" bestFit="1" customWidth="1"/>
    <col min="3" max="3" width="23" bestFit="1" customWidth="1"/>
    <col min="4" max="4" width="20.83203125" bestFit="1" customWidth="1"/>
    <col min="5" max="5" width="22.33203125" bestFit="1" customWidth="1"/>
    <col min="6" max="6" width="26.33203125" bestFit="1" customWidth="1"/>
    <col min="7" max="7" width="25.5" bestFit="1" customWidth="1"/>
    <col min="8" max="8" width="25.33203125" bestFit="1" customWidth="1"/>
    <col min="9" max="9" width="24.33203125" bestFit="1" customWidth="1"/>
    <col min="10" max="11" width="22.33203125" bestFit="1" customWidth="1"/>
  </cols>
  <sheetData>
    <row r="1" spans="1:11" ht="17" x14ac:dyDescent="0.2">
      <c r="A1" s="4" t="s">
        <v>0</v>
      </c>
      <c r="B1" s="4" t="s">
        <v>6</v>
      </c>
      <c r="C1" s="4" t="s">
        <v>373</v>
      </c>
      <c r="D1" s="4" t="s">
        <v>132</v>
      </c>
      <c r="E1" s="4" t="s">
        <v>378</v>
      </c>
      <c r="F1" s="4" t="s">
        <v>148</v>
      </c>
      <c r="G1" s="4" t="s">
        <v>374</v>
      </c>
      <c r="H1" s="4" t="s">
        <v>375</v>
      </c>
      <c r="I1" s="4" t="s">
        <v>380</v>
      </c>
      <c r="J1" s="4" t="s">
        <v>133</v>
      </c>
      <c r="K1" s="4" t="s">
        <v>26</v>
      </c>
    </row>
    <row r="2" spans="1:11" ht="17" x14ac:dyDescent="0.2">
      <c r="A2" s="1" t="s">
        <v>406</v>
      </c>
      <c r="B2" s="1" t="s">
        <v>63</v>
      </c>
      <c r="C2" s="1">
        <v>6</v>
      </c>
      <c r="D2" s="1">
        <v>8</v>
      </c>
      <c r="E2">
        <v>93</v>
      </c>
      <c r="F2" s="1">
        <v>0</v>
      </c>
      <c r="G2" s="1">
        <v>0</v>
      </c>
      <c r="H2" t="s">
        <v>149</v>
      </c>
      <c r="I2" s="1">
        <f>SUM(C2,D2,E2,F2,G2)</f>
        <v>107</v>
      </c>
      <c r="J2" s="1">
        <f>I2/K2</f>
        <v>0.59116022099447518</v>
      </c>
      <c r="K2" s="1">
        <v>181</v>
      </c>
    </row>
    <row r="3" spans="1:11" ht="17" x14ac:dyDescent="0.2">
      <c r="A3" s="1" t="s">
        <v>406</v>
      </c>
      <c r="B3" s="1" t="s">
        <v>260</v>
      </c>
      <c r="C3" s="1">
        <v>6</v>
      </c>
      <c r="D3" s="1">
        <v>6</v>
      </c>
      <c r="E3">
        <v>93</v>
      </c>
      <c r="F3" s="1">
        <v>0</v>
      </c>
      <c r="G3" s="1">
        <v>0</v>
      </c>
      <c r="H3" t="s">
        <v>149</v>
      </c>
      <c r="I3" s="1">
        <f t="shared" ref="I3:I13" si="0">SUM(C3,D3,E3,F3,G3)</f>
        <v>105</v>
      </c>
      <c r="J3" s="1">
        <f t="shared" ref="J3:J28" si="1">I3/K3</f>
        <v>0.58659217877094971</v>
      </c>
      <c r="K3" s="1">
        <v>179</v>
      </c>
    </row>
    <row r="4" spans="1:11" ht="17" x14ac:dyDescent="0.2">
      <c r="A4" s="1" t="s">
        <v>406</v>
      </c>
      <c r="B4" s="1" t="s">
        <v>261</v>
      </c>
      <c r="C4" s="1">
        <v>6</v>
      </c>
      <c r="D4" s="1">
        <v>8</v>
      </c>
      <c r="E4">
        <v>94</v>
      </c>
      <c r="F4" s="1">
        <v>0</v>
      </c>
      <c r="G4" s="1">
        <v>0</v>
      </c>
      <c r="H4" t="s">
        <v>149</v>
      </c>
      <c r="I4" s="1">
        <f t="shared" si="0"/>
        <v>108</v>
      </c>
      <c r="J4" s="1">
        <f t="shared" si="1"/>
        <v>0.61016949152542377</v>
      </c>
      <c r="K4" s="12">
        <v>177</v>
      </c>
    </row>
    <row r="5" spans="1:11" ht="17" x14ac:dyDescent="0.2">
      <c r="A5" s="1" t="s">
        <v>410</v>
      </c>
      <c r="B5" s="1" t="s">
        <v>63</v>
      </c>
      <c r="C5" s="1">
        <v>20</v>
      </c>
      <c r="D5" s="1">
        <v>8</v>
      </c>
      <c r="E5">
        <v>80</v>
      </c>
      <c r="F5" s="1">
        <v>0</v>
      </c>
      <c r="G5" s="1">
        <v>0</v>
      </c>
      <c r="H5" t="s">
        <v>149</v>
      </c>
      <c r="I5" s="1">
        <f t="shared" si="0"/>
        <v>108</v>
      </c>
      <c r="J5" s="1">
        <f t="shared" si="1"/>
        <v>0.62068965517241381</v>
      </c>
      <c r="K5" s="1">
        <v>174</v>
      </c>
    </row>
    <row r="6" spans="1:11" ht="17" x14ac:dyDescent="0.2">
      <c r="A6" s="1" t="s">
        <v>410</v>
      </c>
      <c r="B6" s="1" t="s">
        <v>260</v>
      </c>
      <c r="C6" s="1">
        <v>17</v>
      </c>
      <c r="D6" s="1">
        <v>6</v>
      </c>
      <c r="E6">
        <v>75</v>
      </c>
      <c r="F6" s="1">
        <v>0</v>
      </c>
      <c r="G6" s="1">
        <v>0</v>
      </c>
      <c r="H6" s="16" t="s">
        <v>149</v>
      </c>
      <c r="I6" s="1">
        <f t="shared" si="0"/>
        <v>98</v>
      </c>
      <c r="J6" s="1">
        <f t="shared" si="1"/>
        <v>0.63636363636363635</v>
      </c>
      <c r="K6" s="1">
        <v>154</v>
      </c>
    </row>
    <row r="7" spans="1:11" ht="17" x14ac:dyDescent="0.2">
      <c r="A7" s="1" t="s">
        <v>410</v>
      </c>
      <c r="B7" s="1" t="s">
        <v>262</v>
      </c>
      <c r="C7" s="1">
        <v>23</v>
      </c>
      <c r="D7" s="1">
        <v>4</v>
      </c>
      <c r="E7">
        <v>87</v>
      </c>
      <c r="F7" s="1">
        <v>0</v>
      </c>
      <c r="G7" s="1">
        <v>0</v>
      </c>
      <c r="H7" s="16" t="s">
        <v>149</v>
      </c>
      <c r="I7" s="1">
        <f t="shared" si="0"/>
        <v>114</v>
      </c>
      <c r="J7" s="1">
        <f t="shared" si="1"/>
        <v>0.67455621301775148</v>
      </c>
      <c r="K7" s="12">
        <v>169</v>
      </c>
    </row>
    <row r="8" spans="1:11" ht="17" x14ac:dyDescent="0.2">
      <c r="A8" s="1" t="s">
        <v>414</v>
      </c>
      <c r="B8" s="1" t="s">
        <v>63</v>
      </c>
      <c r="C8" s="1">
        <v>5</v>
      </c>
      <c r="D8" s="1">
        <v>8</v>
      </c>
      <c r="E8">
        <v>63</v>
      </c>
      <c r="F8" s="1">
        <v>0</v>
      </c>
      <c r="G8" s="1">
        <v>0</v>
      </c>
      <c r="H8" s="16" t="s">
        <v>149</v>
      </c>
      <c r="I8" s="1">
        <f t="shared" si="0"/>
        <v>76</v>
      </c>
      <c r="J8" s="1">
        <f t="shared" si="1"/>
        <v>0.52413793103448281</v>
      </c>
      <c r="K8" s="1">
        <v>145</v>
      </c>
    </row>
    <row r="9" spans="1:11" ht="17" x14ac:dyDescent="0.2">
      <c r="A9" s="1" t="s">
        <v>414</v>
      </c>
      <c r="B9" s="1" t="s">
        <v>260</v>
      </c>
      <c r="C9" s="1">
        <v>12</v>
      </c>
      <c r="D9" s="1">
        <v>8</v>
      </c>
      <c r="E9">
        <v>93</v>
      </c>
      <c r="F9" s="1">
        <v>0</v>
      </c>
      <c r="G9" s="1">
        <v>0</v>
      </c>
      <c r="H9" s="16" t="s">
        <v>149</v>
      </c>
      <c r="I9" s="1">
        <f t="shared" si="0"/>
        <v>113</v>
      </c>
      <c r="J9" s="1">
        <f t="shared" si="1"/>
        <v>0.66081871345029242</v>
      </c>
      <c r="K9" s="12">
        <v>171</v>
      </c>
    </row>
    <row r="10" spans="1:11" ht="17" x14ac:dyDescent="0.2">
      <c r="A10" s="1" t="s">
        <v>414</v>
      </c>
      <c r="B10" s="1" t="s">
        <v>261</v>
      </c>
      <c r="C10" s="1">
        <v>3</v>
      </c>
      <c r="D10" s="1">
        <v>8</v>
      </c>
      <c r="E10">
        <v>97</v>
      </c>
      <c r="F10" s="1">
        <v>0</v>
      </c>
      <c r="G10" s="1">
        <v>0</v>
      </c>
      <c r="H10" s="16" t="s">
        <v>149</v>
      </c>
      <c r="I10" s="1">
        <f t="shared" si="0"/>
        <v>108</v>
      </c>
      <c r="J10" s="1">
        <f t="shared" si="1"/>
        <v>0.58064516129032262</v>
      </c>
      <c r="K10" s="1">
        <v>186</v>
      </c>
    </row>
    <row r="11" spans="1:11" ht="17" x14ac:dyDescent="0.2">
      <c r="A11" s="1" t="s">
        <v>418</v>
      </c>
      <c r="B11" s="1" t="s">
        <v>63</v>
      </c>
      <c r="C11" s="1">
        <v>13</v>
      </c>
      <c r="D11" s="1">
        <v>7</v>
      </c>
      <c r="E11">
        <v>75</v>
      </c>
      <c r="F11" s="1">
        <v>0</v>
      </c>
      <c r="G11" s="1">
        <v>0</v>
      </c>
      <c r="H11" s="16" t="s">
        <v>149</v>
      </c>
      <c r="I11" s="1">
        <f t="shared" si="0"/>
        <v>95</v>
      </c>
      <c r="J11" s="1">
        <f t="shared" si="1"/>
        <v>0.59006211180124224</v>
      </c>
      <c r="K11" s="1">
        <v>161</v>
      </c>
    </row>
    <row r="12" spans="1:11" ht="17" x14ac:dyDescent="0.2">
      <c r="A12" s="1" t="s">
        <v>418</v>
      </c>
      <c r="B12" s="1" t="s">
        <v>260</v>
      </c>
      <c r="C12" s="1">
        <v>11</v>
      </c>
      <c r="D12" s="1">
        <v>9</v>
      </c>
      <c r="E12">
        <v>78</v>
      </c>
      <c r="F12" s="1">
        <v>0</v>
      </c>
      <c r="G12" s="1">
        <v>0</v>
      </c>
      <c r="H12" s="16" t="s">
        <v>149</v>
      </c>
      <c r="I12" s="1">
        <f t="shared" si="0"/>
        <v>98</v>
      </c>
      <c r="J12" s="1">
        <f t="shared" si="1"/>
        <v>0.60869565217391308</v>
      </c>
      <c r="K12" s="1">
        <v>161</v>
      </c>
    </row>
    <row r="13" spans="1:11" ht="17" x14ac:dyDescent="0.2">
      <c r="A13" s="1" t="s">
        <v>418</v>
      </c>
      <c r="B13" s="1" t="s">
        <v>261</v>
      </c>
      <c r="C13" s="1">
        <v>11</v>
      </c>
      <c r="D13" s="1">
        <v>9</v>
      </c>
      <c r="E13">
        <v>72</v>
      </c>
      <c r="F13" s="1">
        <v>0</v>
      </c>
      <c r="G13" s="1">
        <v>0</v>
      </c>
      <c r="H13" s="16" t="s">
        <v>149</v>
      </c>
      <c r="I13" s="1">
        <f t="shared" si="0"/>
        <v>92</v>
      </c>
      <c r="J13" s="1">
        <f t="shared" si="1"/>
        <v>0.60130718954248363</v>
      </c>
      <c r="K13" s="12">
        <v>153</v>
      </c>
    </row>
    <row r="14" spans="1:11" ht="17" x14ac:dyDescent="0.2">
      <c r="A14" s="1" t="s">
        <v>422</v>
      </c>
      <c r="B14" s="1" t="s">
        <v>63</v>
      </c>
      <c r="C14" s="1">
        <v>13</v>
      </c>
      <c r="D14" s="1">
        <v>15</v>
      </c>
      <c r="E14">
        <v>75</v>
      </c>
      <c r="F14" s="1">
        <v>0</v>
      </c>
      <c r="G14" s="1">
        <v>0</v>
      </c>
      <c r="H14">
        <v>1</v>
      </c>
      <c r="I14" s="1">
        <f>SUM(C14,D14,E14,F14,G14,H14)</f>
        <v>104</v>
      </c>
      <c r="J14" s="1">
        <f t="shared" si="1"/>
        <v>0.65</v>
      </c>
      <c r="K14" s="12">
        <v>160</v>
      </c>
    </row>
    <row r="15" spans="1:11" ht="17" x14ac:dyDescent="0.2">
      <c r="A15" s="1" t="s">
        <v>422</v>
      </c>
      <c r="B15" s="1" t="s">
        <v>74</v>
      </c>
      <c r="C15" s="1">
        <v>15</v>
      </c>
      <c r="D15" s="1">
        <v>0</v>
      </c>
      <c r="E15">
        <v>87</v>
      </c>
      <c r="F15" s="1">
        <v>0</v>
      </c>
      <c r="G15" s="1">
        <v>0</v>
      </c>
      <c r="H15">
        <v>1</v>
      </c>
      <c r="I15" s="1">
        <f t="shared" ref="I15:I16" si="2">SUM(C15,D15,E15,F15,G15,H15)</f>
        <v>103</v>
      </c>
      <c r="J15" s="1">
        <f t="shared" si="1"/>
        <v>0.67320261437908502</v>
      </c>
      <c r="K15" s="1">
        <v>153</v>
      </c>
    </row>
    <row r="16" spans="1:11" ht="17" x14ac:dyDescent="0.2">
      <c r="A16" s="1" t="s">
        <v>422</v>
      </c>
      <c r="B16" s="1" t="s">
        <v>75</v>
      </c>
      <c r="C16" s="1">
        <v>14</v>
      </c>
      <c r="D16" s="1">
        <v>0</v>
      </c>
      <c r="E16">
        <v>88</v>
      </c>
      <c r="F16" s="1">
        <v>0</v>
      </c>
      <c r="G16" s="1">
        <v>0</v>
      </c>
      <c r="H16">
        <v>1</v>
      </c>
      <c r="I16" s="1">
        <f t="shared" si="2"/>
        <v>103</v>
      </c>
      <c r="J16" s="1">
        <f t="shared" si="1"/>
        <v>0.66883116883116878</v>
      </c>
      <c r="K16" s="1">
        <v>154</v>
      </c>
    </row>
    <row r="17" spans="1:11" ht="17" x14ac:dyDescent="0.2">
      <c r="A17" s="1" t="s">
        <v>426</v>
      </c>
      <c r="B17" s="1" t="s">
        <v>63</v>
      </c>
      <c r="C17" s="1">
        <v>11</v>
      </c>
      <c r="D17" s="1">
        <v>24</v>
      </c>
      <c r="E17">
        <v>56</v>
      </c>
      <c r="F17" s="1">
        <v>0</v>
      </c>
      <c r="G17" s="1">
        <v>0</v>
      </c>
      <c r="H17" s="16" t="s">
        <v>149</v>
      </c>
      <c r="I17" s="1">
        <f>SUM(C17,D17,E17,F17,G17)</f>
        <v>91</v>
      </c>
      <c r="J17" s="1">
        <f t="shared" si="1"/>
        <v>0.56521739130434778</v>
      </c>
      <c r="K17" s="1">
        <v>161</v>
      </c>
    </row>
    <row r="18" spans="1:11" ht="17" x14ac:dyDescent="0.2">
      <c r="A18" s="1" t="s">
        <v>426</v>
      </c>
      <c r="B18" s="1" t="s">
        <v>260</v>
      </c>
      <c r="C18" s="1">
        <v>7</v>
      </c>
      <c r="D18" s="1">
        <v>20</v>
      </c>
      <c r="E18">
        <v>54</v>
      </c>
      <c r="F18" s="1">
        <v>0</v>
      </c>
      <c r="G18" s="1">
        <v>0</v>
      </c>
      <c r="H18" s="16" t="s">
        <v>149</v>
      </c>
      <c r="I18" s="1">
        <f t="shared" ref="I18:I25" si="3">SUM(C18,D18,E18,F18,G18)</f>
        <v>81</v>
      </c>
      <c r="J18" s="1">
        <f t="shared" si="1"/>
        <v>0.52597402597402598</v>
      </c>
      <c r="K18" s="12">
        <v>154</v>
      </c>
    </row>
    <row r="19" spans="1:11" ht="17" x14ac:dyDescent="0.2">
      <c r="A19" s="1" t="s">
        <v>426</v>
      </c>
      <c r="B19" s="1" t="s">
        <v>261</v>
      </c>
      <c r="C19" s="1">
        <v>7</v>
      </c>
      <c r="D19" s="1">
        <v>20</v>
      </c>
      <c r="E19">
        <v>68</v>
      </c>
      <c r="F19" s="1">
        <v>0</v>
      </c>
      <c r="G19" s="1">
        <v>0</v>
      </c>
      <c r="H19" s="16" t="s">
        <v>149</v>
      </c>
      <c r="I19" s="1">
        <f t="shared" si="3"/>
        <v>95</v>
      </c>
      <c r="J19" s="1">
        <f t="shared" si="1"/>
        <v>0.54597701149425293</v>
      </c>
      <c r="K19" s="1">
        <v>174</v>
      </c>
    </row>
    <row r="20" spans="1:11" ht="17" x14ac:dyDescent="0.2">
      <c r="A20" s="1" t="s">
        <v>430</v>
      </c>
      <c r="B20" s="1" t="s">
        <v>63</v>
      </c>
      <c r="C20" s="1">
        <v>11</v>
      </c>
      <c r="D20" s="1">
        <v>17</v>
      </c>
      <c r="E20">
        <v>78</v>
      </c>
      <c r="F20" s="1">
        <v>0</v>
      </c>
      <c r="G20" s="1">
        <v>0</v>
      </c>
      <c r="H20" s="16" t="s">
        <v>149</v>
      </c>
      <c r="I20" s="1">
        <f t="shared" si="3"/>
        <v>106</v>
      </c>
      <c r="J20" s="1">
        <f t="shared" si="1"/>
        <v>0.63855421686746983</v>
      </c>
      <c r="K20" s="1">
        <v>166</v>
      </c>
    </row>
    <row r="21" spans="1:11" ht="17" x14ac:dyDescent="0.2">
      <c r="A21" s="1" t="s">
        <v>430</v>
      </c>
      <c r="B21" s="1" t="s">
        <v>262</v>
      </c>
      <c r="C21" s="1">
        <v>6</v>
      </c>
      <c r="D21" s="1">
        <v>13</v>
      </c>
      <c r="E21">
        <v>78</v>
      </c>
      <c r="F21" s="1">
        <v>0</v>
      </c>
      <c r="G21" s="1">
        <v>0</v>
      </c>
      <c r="H21" s="16" t="s">
        <v>149</v>
      </c>
      <c r="I21" s="1">
        <f t="shared" si="3"/>
        <v>97</v>
      </c>
      <c r="J21" s="1">
        <f t="shared" si="1"/>
        <v>0.58787878787878789</v>
      </c>
      <c r="K21" s="1">
        <v>165</v>
      </c>
    </row>
    <row r="22" spans="1:11" ht="17" x14ac:dyDescent="0.2">
      <c r="A22" s="1" t="s">
        <v>430</v>
      </c>
      <c r="B22" s="1" t="s">
        <v>263</v>
      </c>
      <c r="C22" s="1">
        <v>12</v>
      </c>
      <c r="D22" s="1">
        <v>11</v>
      </c>
      <c r="E22">
        <v>78</v>
      </c>
      <c r="F22" s="1">
        <v>0</v>
      </c>
      <c r="G22" s="1">
        <v>0</v>
      </c>
      <c r="H22" s="16" t="s">
        <v>149</v>
      </c>
      <c r="I22" s="1">
        <f t="shared" si="3"/>
        <v>101</v>
      </c>
      <c r="J22" s="1">
        <f t="shared" si="1"/>
        <v>0.62345679012345678</v>
      </c>
      <c r="K22" s="12">
        <v>162</v>
      </c>
    </row>
    <row r="23" spans="1:11" ht="17" x14ac:dyDescent="0.2">
      <c r="A23" s="1" t="s">
        <v>434</v>
      </c>
      <c r="B23" s="1" t="s">
        <v>63</v>
      </c>
      <c r="C23" s="1">
        <v>8</v>
      </c>
      <c r="D23" s="1">
        <v>8</v>
      </c>
      <c r="E23">
        <v>76</v>
      </c>
      <c r="F23" s="1">
        <v>0</v>
      </c>
      <c r="G23" s="1">
        <v>0</v>
      </c>
      <c r="H23" s="16" t="s">
        <v>149</v>
      </c>
      <c r="I23" s="1">
        <f t="shared" si="3"/>
        <v>92</v>
      </c>
      <c r="J23" s="1">
        <f t="shared" si="1"/>
        <v>0.54117647058823526</v>
      </c>
      <c r="K23" s="1">
        <v>170</v>
      </c>
    </row>
    <row r="24" spans="1:11" ht="17" x14ac:dyDescent="0.2">
      <c r="A24" s="1" t="s">
        <v>434</v>
      </c>
      <c r="B24" s="1" t="s">
        <v>260</v>
      </c>
      <c r="C24" s="1">
        <v>9</v>
      </c>
      <c r="D24" s="1">
        <v>8</v>
      </c>
      <c r="E24">
        <v>82</v>
      </c>
      <c r="F24" s="1">
        <v>0</v>
      </c>
      <c r="G24" s="1">
        <v>0</v>
      </c>
      <c r="H24" s="16" t="s">
        <v>149</v>
      </c>
      <c r="I24" s="1">
        <f t="shared" si="3"/>
        <v>99</v>
      </c>
      <c r="J24" s="1">
        <f t="shared" si="1"/>
        <v>0.58235294117647063</v>
      </c>
      <c r="K24" s="1">
        <v>170</v>
      </c>
    </row>
    <row r="25" spans="1:11" ht="17" x14ac:dyDescent="0.2">
      <c r="A25" s="1" t="s">
        <v>434</v>
      </c>
      <c r="B25" s="1" t="s">
        <v>261</v>
      </c>
      <c r="C25" s="1">
        <v>7</v>
      </c>
      <c r="D25" s="1">
        <v>6</v>
      </c>
      <c r="E25">
        <v>91</v>
      </c>
      <c r="F25" s="1">
        <v>0</v>
      </c>
      <c r="G25" s="1">
        <v>0</v>
      </c>
      <c r="H25" s="16" t="s">
        <v>149</v>
      </c>
      <c r="I25" s="1">
        <f t="shared" si="3"/>
        <v>104</v>
      </c>
      <c r="J25" s="1">
        <f t="shared" si="1"/>
        <v>0.55319148936170215</v>
      </c>
      <c r="K25" s="12">
        <v>188</v>
      </c>
    </row>
    <row r="26" spans="1:11" ht="17" x14ac:dyDescent="0.2">
      <c r="A26" s="1" t="s">
        <v>438</v>
      </c>
      <c r="B26" s="1" t="s">
        <v>63</v>
      </c>
      <c r="C26" s="1">
        <v>11</v>
      </c>
      <c r="D26" s="1">
        <v>24</v>
      </c>
      <c r="E26">
        <v>59</v>
      </c>
      <c r="F26" s="1">
        <v>0</v>
      </c>
      <c r="G26" s="1">
        <v>0</v>
      </c>
      <c r="H26" s="1">
        <v>1</v>
      </c>
      <c r="I26" s="1">
        <f>SUM(C26,D26,E26,F26,G26,H26)</f>
        <v>95</v>
      </c>
      <c r="J26" s="1">
        <f t="shared" si="1"/>
        <v>0.52777777777777779</v>
      </c>
      <c r="K26" s="1">
        <v>180</v>
      </c>
    </row>
    <row r="27" spans="1:11" ht="17" x14ac:dyDescent="0.2">
      <c r="A27" s="1" t="s">
        <v>438</v>
      </c>
      <c r="B27" s="1" t="s">
        <v>260</v>
      </c>
      <c r="C27" s="1">
        <v>10</v>
      </c>
      <c r="D27" s="1">
        <v>16</v>
      </c>
      <c r="E27">
        <v>54</v>
      </c>
      <c r="F27" s="1">
        <v>0</v>
      </c>
      <c r="G27" s="1">
        <v>0</v>
      </c>
      <c r="H27" s="1">
        <v>1</v>
      </c>
      <c r="I27" s="1">
        <f t="shared" ref="I27:I28" si="4">SUM(C27,D27,E27,F27,G27,H27)</f>
        <v>81</v>
      </c>
      <c r="J27" s="1">
        <f t="shared" si="1"/>
        <v>0.45251396648044695</v>
      </c>
      <c r="K27" s="1">
        <v>179</v>
      </c>
    </row>
    <row r="28" spans="1:11" ht="17" x14ac:dyDescent="0.2">
      <c r="A28" s="1" t="s">
        <v>438</v>
      </c>
      <c r="B28" s="1" t="s">
        <v>262</v>
      </c>
      <c r="C28" s="1">
        <v>6</v>
      </c>
      <c r="D28" s="1">
        <v>0</v>
      </c>
      <c r="E28">
        <v>66</v>
      </c>
      <c r="F28" s="1">
        <v>0</v>
      </c>
      <c r="G28" s="1">
        <v>0</v>
      </c>
      <c r="H28" s="1">
        <v>1</v>
      </c>
      <c r="I28" s="1">
        <f t="shared" si="4"/>
        <v>73</v>
      </c>
      <c r="J28" s="1">
        <f t="shared" si="1"/>
        <v>0.43195266272189348</v>
      </c>
      <c r="K28" s="12">
        <v>169</v>
      </c>
    </row>
    <row r="33" spans="1:4" ht="18" x14ac:dyDescent="0.2">
      <c r="A33" t="s">
        <v>377</v>
      </c>
      <c r="D33" s="18"/>
    </row>
    <row r="34" spans="1:4" ht="18" x14ac:dyDescent="0.2">
      <c r="A34" t="s">
        <v>376</v>
      </c>
      <c r="D34" s="18"/>
    </row>
    <row r="35" spans="1:4" ht="18" x14ac:dyDescent="0.2">
      <c r="A35" t="s">
        <v>379</v>
      </c>
      <c r="D35" s="18"/>
    </row>
    <row r="36" spans="1:4" ht="18" x14ac:dyDescent="0.2">
      <c r="D36" s="18"/>
    </row>
    <row r="37" spans="1:4" ht="18" x14ac:dyDescent="0.2">
      <c r="D37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B668-3E39-0C4E-A499-4FAF6D54ECB1}">
  <dimension ref="A1:X10"/>
  <sheetViews>
    <sheetView workbookViewId="0">
      <selection activeCell="S21" sqref="S21"/>
    </sheetView>
  </sheetViews>
  <sheetFormatPr baseColWidth="10" defaultRowHeight="16" x14ac:dyDescent="0.2"/>
  <cols>
    <col min="1" max="1" width="12.33203125" bestFit="1" customWidth="1"/>
    <col min="2" max="2" width="22.1640625" bestFit="1" customWidth="1"/>
    <col min="3" max="5" width="18.83203125" bestFit="1" customWidth="1"/>
    <col min="6" max="6" width="19.1640625" bestFit="1" customWidth="1"/>
    <col min="7" max="9" width="30.6640625" bestFit="1" customWidth="1"/>
    <col min="10" max="10" width="22.6640625" bestFit="1" customWidth="1"/>
    <col min="11" max="11" width="29" bestFit="1" customWidth="1"/>
    <col min="12" max="12" width="22" bestFit="1" customWidth="1"/>
    <col min="13" max="13" width="21.1640625" bestFit="1" customWidth="1"/>
    <col min="14" max="14" width="25.83203125" bestFit="1" customWidth="1"/>
    <col min="15" max="15" width="16.83203125" bestFit="1" customWidth="1"/>
    <col min="16" max="16" width="22.33203125" bestFit="1" customWidth="1"/>
    <col min="17" max="17" width="21.5" bestFit="1" customWidth="1"/>
    <col min="18" max="18" width="21.1640625" bestFit="1" customWidth="1"/>
    <col min="19" max="19" width="25.33203125" bestFit="1" customWidth="1"/>
    <col min="20" max="20" width="30.5" bestFit="1" customWidth="1"/>
  </cols>
  <sheetData>
    <row r="1" spans="1:24" ht="17" x14ac:dyDescent="0.2">
      <c r="A1" s="4" t="s">
        <v>0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388</v>
      </c>
      <c r="H1" s="4" t="s">
        <v>389</v>
      </c>
      <c r="I1" s="4" t="s">
        <v>390</v>
      </c>
      <c r="J1" s="4" t="s">
        <v>391</v>
      </c>
      <c r="K1" s="4" t="s">
        <v>392</v>
      </c>
      <c r="L1" s="4" t="s">
        <v>393</v>
      </c>
      <c r="M1" s="4" t="s">
        <v>394</v>
      </c>
      <c r="N1" s="4" t="s">
        <v>395</v>
      </c>
      <c r="O1" s="4" t="s">
        <v>396</v>
      </c>
      <c r="P1" s="4" t="s">
        <v>397</v>
      </c>
      <c r="Q1" s="4" t="s">
        <v>398</v>
      </c>
      <c r="R1" s="4" t="s">
        <v>399</v>
      </c>
      <c r="S1" s="4" t="s">
        <v>400</v>
      </c>
      <c r="T1" s="4" t="s">
        <v>401</v>
      </c>
      <c r="U1" s="4" t="s">
        <v>402</v>
      </c>
      <c r="V1" s="4" t="s">
        <v>403</v>
      </c>
      <c r="W1" s="4" t="s">
        <v>404</v>
      </c>
      <c r="X1" s="4" t="s">
        <v>405</v>
      </c>
    </row>
    <row r="2" spans="1:24" ht="17" x14ac:dyDescent="0.2">
      <c r="A2" s="1" t="s">
        <v>406</v>
      </c>
      <c r="B2" s="1" t="s">
        <v>274</v>
      </c>
      <c r="C2" s="1" t="b">
        <v>0</v>
      </c>
      <c r="D2" s="1" t="b">
        <v>0</v>
      </c>
      <c r="E2" s="1" t="b">
        <v>0</v>
      </c>
      <c r="F2" s="1">
        <v>0</v>
      </c>
      <c r="G2" s="1">
        <v>0.78801200000000005</v>
      </c>
      <c r="H2" s="1">
        <v>0.635799</v>
      </c>
      <c r="I2" s="1">
        <v>0.63666400000000001</v>
      </c>
      <c r="J2" s="1">
        <v>0.82352899999999996</v>
      </c>
      <c r="K2" s="1">
        <v>0.147063</v>
      </c>
      <c r="L2" s="1">
        <v>0.77670799999999995</v>
      </c>
      <c r="M2" s="1">
        <v>1</v>
      </c>
      <c r="N2" s="1">
        <v>0.68682500000000002</v>
      </c>
      <c r="O2" s="1">
        <v>1.9460999999999999E-2</v>
      </c>
      <c r="P2" s="1">
        <v>1.8827E-2</v>
      </c>
      <c r="Q2" s="1">
        <v>4.6811999999999999E-2</v>
      </c>
      <c r="R2" s="1">
        <v>0</v>
      </c>
      <c r="S2" s="1">
        <v>1.7065E-2</v>
      </c>
      <c r="T2" s="1">
        <v>0</v>
      </c>
      <c r="U2" s="1">
        <v>0</v>
      </c>
      <c r="V2" s="1">
        <v>0</v>
      </c>
      <c r="W2" s="1">
        <v>0</v>
      </c>
      <c r="X2" s="1">
        <v>1.1173000000000001E-2</v>
      </c>
    </row>
    <row r="3" spans="1:24" ht="17" x14ac:dyDescent="0.2">
      <c r="A3" s="1" t="s">
        <v>410</v>
      </c>
      <c r="B3" s="1" t="s">
        <v>275</v>
      </c>
      <c r="C3" s="1" t="b">
        <v>0</v>
      </c>
      <c r="D3" s="1" t="b">
        <v>0</v>
      </c>
      <c r="E3" s="1" t="b">
        <v>0</v>
      </c>
      <c r="F3" s="1">
        <v>0</v>
      </c>
      <c r="G3" s="1">
        <v>0.30406100000000003</v>
      </c>
      <c r="H3" s="1">
        <v>0.64427299999999998</v>
      </c>
      <c r="I3" s="1">
        <v>0.36159599999999997</v>
      </c>
      <c r="J3" s="1">
        <v>0.57254300000000002</v>
      </c>
      <c r="K3" s="1">
        <v>0.21845100000000001</v>
      </c>
      <c r="L3" s="1">
        <v>0.53891199999999995</v>
      </c>
      <c r="M3" s="1">
        <v>0.41666700000000001</v>
      </c>
      <c r="N3" s="1">
        <v>0.436643</v>
      </c>
      <c r="O3" s="1">
        <v>7.1429000000000006E-2</v>
      </c>
      <c r="P3" s="1">
        <v>2.7605999999999999E-2</v>
      </c>
      <c r="Q3" s="1">
        <v>0.66617300000000002</v>
      </c>
      <c r="R3" s="1">
        <v>0</v>
      </c>
      <c r="S3" s="1">
        <v>4.7619000000000002E-2</v>
      </c>
      <c r="T3" s="1">
        <v>0.31491799999999998</v>
      </c>
      <c r="U3" s="1">
        <v>0.86602500000000004</v>
      </c>
      <c r="V3" s="1">
        <v>0</v>
      </c>
      <c r="W3" s="1">
        <v>9.1161000000000006E-2</v>
      </c>
      <c r="X3" s="1">
        <v>6.2826999999999994E-2</v>
      </c>
    </row>
    <row r="4" spans="1:24" ht="17" x14ac:dyDescent="0.2">
      <c r="A4" s="1" t="s">
        <v>414</v>
      </c>
      <c r="B4" s="1" t="s">
        <v>274</v>
      </c>
      <c r="C4" s="1" t="b">
        <v>0</v>
      </c>
      <c r="D4" s="1" t="b">
        <v>0</v>
      </c>
      <c r="E4" s="1" t="b">
        <v>0</v>
      </c>
      <c r="F4" s="1">
        <v>0</v>
      </c>
      <c r="G4" s="1">
        <v>0.22014600000000001</v>
      </c>
      <c r="H4" s="1">
        <v>0.167048</v>
      </c>
      <c r="I4" s="1">
        <v>0.53688199999999997</v>
      </c>
      <c r="J4" s="1">
        <v>0.40626600000000002</v>
      </c>
      <c r="K4" s="1">
        <v>0.33333299999999999</v>
      </c>
      <c r="L4" s="1">
        <v>0.37080800000000003</v>
      </c>
      <c r="M4" s="1">
        <v>0.121693</v>
      </c>
      <c r="N4" s="1">
        <v>0.30802499999999999</v>
      </c>
      <c r="O4" s="1">
        <v>0.22528799999999999</v>
      </c>
      <c r="P4" s="1">
        <v>0.12992600000000001</v>
      </c>
      <c r="Q4" s="1">
        <v>1.732051</v>
      </c>
      <c r="R4" s="1">
        <v>0</v>
      </c>
      <c r="S4" s="1">
        <v>0.181476</v>
      </c>
      <c r="T4" s="1">
        <v>0.31491799999999998</v>
      </c>
      <c r="U4" s="1">
        <v>0.43301299999999998</v>
      </c>
      <c r="V4" s="1">
        <v>0</v>
      </c>
      <c r="W4" s="1">
        <v>0</v>
      </c>
      <c r="X4" s="1">
        <v>0.123971</v>
      </c>
    </row>
    <row r="5" spans="1:24" ht="17" x14ac:dyDescent="0.2">
      <c r="A5" s="1" t="s">
        <v>418</v>
      </c>
      <c r="B5" s="1" t="s">
        <v>274</v>
      </c>
      <c r="C5" s="1" t="b">
        <v>0</v>
      </c>
      <c r="D5" s="1" t="b">
        <v>0</v>
      </c>
      <c r="E5" s="1" t="b">
        <v>0</v>
      </c>
      <c r="F5" s="1">
        <v>0</v>
      </c>
      <c r="G5" s="1">
        <v>0.50630500000000001</v>
      </c>
      <c r="H5" s="1">
        <v>0.38736599999999999</v>
      </c>
      <c r="I5" s="1">
        <v>0.35300300000000001</v>
      </c>
      <c r="J5" s="1">
        <v>0.57932300000000003</v>
      </c>
      <c r="K5" s="1">
        <v>0.42592600000000003</v>
      </c>
      <c r="L5" s="1">
        <v>0.58290900000000001</v>
      </c>
      <c r="M5" s="1">
        <v>7.4074000000000001E-2</v>
      </c>
      <c r="N5" s="1">
        <v>0.41555799999999998</v>
      </c>
      <c r="O5" s="1">
        <v>2.4395E-2</v>
      </c>
      <c r="P5" s="1">
        <v>5.7282E-2</v>
      </c>
      <c r="Q5" s="1">
        <v>5.0943000000000002E-2</v>
      </c>
      <c r="R5" s="1">
        <v>1</v>
      </c>
      <c r="S5" s="1">
        <v>2.0024E-2</v>
      </c>
      <c r="T5" s="1">
        <v>0.31491799999999998</v>
      </c>
      <c r="U5" s="1">
        <v>0.43301299999999998</v>
      </c>
      <c r="V5" s="1">
        <v>0</v>
      </c>
      <c r="W5" s="1">
        <v>9.1161000000000006E-2</v>
      </c>
      <c r="X5" s="1">
        <v>2.9170999999999999E-2</v>
      </c>
    </row>
    <row r="6" spans="1:24" ht="17" x14ac:dyDescent="0.2">
      <c r="A6" s="1" t="s">
        <v>422</v>
      </c>
      <c r="B6" s="1" t="s">
        <v>77</v>
      </c>
      <c r="C6" s="1" t="b">
        <v>0</v>
      </c>
      <c r="D6" s="1" t="b">
        <v>0</v>
      </c>
      <c r="E6" s="1" t="b">
        <v>0</v>
      </c>
      <c r="F6" s="1">
        <v>0</v>
      </c>
      <c r="G6" s="1">
        <v>0.67120299999999999</v>
      </c>
      <c r="H6" s="1">
        <v>0.68480799999999997</v>
      </c>
      <c r="I6" s="1">
        <v>0.55772999999999995</v>
      </c>
      <c r="J6" s="1">
        <v>0.90596299999999996</v>
      </c>
      <c r="K6" s="1">
        <v>0.147813</v>
      </c>
      <c r="L6" s="1">
        <v>0.85983200000000004</v>
      </c>
      <c r="M6" s="1">
        <v>0.63804700000000003</v>
      </c>
      <c r="N6" s="1">
        <v>0.63791399999999998</v>
      </c>
      <c r="O6" s="1">
        <v>2.1651E-2</v>
      </c>
      <c r="P6" s="1">
        <v>1.1032E-2</v>
      </c>
      <c r="Q6" s="1">
        <v>0.60245199999999999</v>
      </c>
      <c r="R6" s="1">
        <v>0</v>
      </c>
      <c r="S6" s="1">
        <v>1.0070000000000001E-2</v>
      </c>
      <c r="T6" s="1">
        <v>0.173205</v>
      </c>
      <c r="U6" s="1">
        <v>0</v>
      </c>
      <c r="V6" s="1">
        <v>0</v>
      </c>
      <c r="W6" s="1">
        <v>0</v>
      </c>
      <c r="X6" s="1">
        <v>2.4320999999999999E-2</v>
      </c>
    </row>
    <row r="7" spans="1:24" ht="17" x14ac:dyDescent="0.2">
      <c r="A7" s="1" t="s">
        <v>426</v>
      </c>
      <c r="B7" s="1" t="s">
        <v>274</v>
      </c>
      <c r="C7" s="1" t="b">
        <v>0</v>
      </c>
      <c r="D7" s="1" t="b">
        <v>0</v>
      </c>
      <c r="E7" s="1" t="b">
        <v>0</v>
      </c>
      <c r="F7" s="1">
        <v>0</v>
      </c>
      <c r="G7" s="1">
        <v>0.404642</v>
      </c>
      <c r="H7" s="1">
        <v>0.37891900000000001</v>
      </c>
      <c r="I7" s="1">
        <v>0.60020300000000004</v>
      </c>
      <c r="J7" s="1">
        <v>0.37895499999999999</v>
      </c>
      <c r="K7" s="1">
        <v>0.23910799999999999</v>
      </c>
      <c r="L7" s="1">
        <v>0.52325100000000002</v>
      </c>
      <c r="M7" s="1">
        <v>0.703704</v>
      </c>
      <c r="N7" s="1">
        <v>0.46125500000000003</v>
      </c>
      <c r="O7" s="1">
        <v>0.12026100000000001</v>
      </c>
      <c r="P7" s="1">
        <v>0.124434</v>
      </c>
      <c r="Q7" s="1">
        <v>0.27936299999999997</v>
      </c>
      <c r="R7" s="1">
        <v>0</v>
      </c>
      <c r="S7" s="1">
        <v>7.4750999999999998E-2</v>
      </c>
      <c r="T7" s="1">
        <v>0</v>
      </c>
      <c r="U7" s="1">
        <v>0</v>
      </c>
      <c r="V7" s="1">
        <v>0</v>
      </c>
      <c r="W7" s="1">
        <v>0.24743599999999999</v>
      </c>
      <c r="X7" s="1">
        <v>6.2262999999999999E-2</v>
      </c>
    </row>
    <row r="8" spans="1:24" ht="17" x14ac:dyDescent="0.2">
      <c r="A8" s="1" t="s">
        <v>430</v>
      </c>
      <c r="B8" s="1" t="s">
        <v>276</v>
      </c>
      <c r="C8" s="1" t="b">
        <v>0</v>
      </c>
      <c r="D8" s="1" t="b">
        <v>0</v>
      </c>
      <c r="E8" s="1" t="b">
        <v>0</v>
      </c>
      <c r="F8" s="1">
        <v>0</v>
      </c>
      <c r="G8" s="1">
        <v>0.69216</v>
      </c>
      <c r="H8" s="1">
        <v>0.83983399999999997</v>
      </c>
      <c r="I8" s="1">
        <v>0.80407399999999996</v>
      </c>
      <c r="J8" s="1">
        <v>0.77588900000000005</v>
      </c>
      <c r="K8" s="1">
        <v>1</v>
      </c>
      <c r="L8" s="1">
        <v>0.76268000000000002</v>
      </c>
      <c r="M8" s="1">
        <v>0.57618999999999998</v>
      </c>
      <c r="N8" s="1">
        <v>0.77868999999999999</v>
      </c>
      <c r="O8" s="1">
        <v>0</v>
      </c>
      <c r="P8" s="1">
        <v>2.8393999999999999E-2</v>
      </c>
      <c r="Q8" s="1">
        <v>0</v>
      </c>
      <c r="R8" s="1">
        <v>0</v>
      </c>
      <c r="S8" s="1">
        <v>4.5149000000000002E-2</v>
      </c>
      <c r="T8" s="1">
        <v>0.173205</v>
      </c>
      <c r="U8" s="1">
        <v>0.43301299999999998</v>
      </c>
      <c r="V8" s="1">
        <v>0</v>
      </c>
      <c r="W8" s="1">
        <v>0</v>
      </c>
      <c r="X8" s="1">
        <v>1.2666999999999999E-2</v>
      </c>
    </row>
    <row r="9" spans="1:24" ht="17" x14ac:dyDescent="0.2">
      <c r="A9" s="1" t="s">
        <v>434</v>
      </c>
      <c r="B9" s="1" t="s">
        <v>274</v>
      </c>
      <c r="C9" s="1" t="b">
        <v>0</v>
      </c>
      <c r="D9" s="1" t="b">
        <v>0</v>
      </c>
      <c r="E9" s="1" t="b">
        <v>0</v>
      </c>
      <c r="F9" s="1">
        <v>0</v>
      </c>
      <c r="G9" s="1">
        <v>0.38243199999999999</v>
      </c>
      <c r="H9" s="1">
        <v>0.482873</v>
      </c>
      <c r="I9" s="1">
        <v>0.60357700000000003</v>
      </c>
      <c r="J9" s="1">
        <v>0.754189</v>
      </c>
      <c r="K9" s="1">
        <v>0.17777799999999999</v>
      </c>
      <c r="L9" s="1">
        <v>0.69320899999999996</v>
      </c>
      <c r="M9" s="1">
        <v>0.33333299999999999</v>
      </c>
      <c r="N9" s="1">
        <v>0.48962699999999998</v>
      </c>
      <c r="O9" s="1">
        <v>8.8821999999999998E-2</v>
      </c>
      <c r="P9" s="1">
        <v>6.1545000000000002E-2</v>
      </c>
      <c r="Q9" s="1">
        <v>0.86847799999999997</v>
      </c>
      <c r="R9" s="1">
        <v>0</v>
      </c>
      <c r="S9" s="1">
        <v>6.0606E-2</v>
      </c>
      <c r="T9" s="1">
        <v>0</v>
      </c>
      <c r="U9" s="1">
        <v>0.43301299999999998</v>
      </c>
      <c r="V9" s="1">
        <v>0</v>
      </c>
      <c r="W9" s="1">
        <v>0</v>
      </c>
      <c r="X9" s="1">
        <v>5.9047000000000002E-2</v>
      </c>
    </row>
    <row r="10" spans="1:24" ht="17" x14ac:dyDescent="0.2">
      <c r="A10" s="1" t="s">
        <v>438</v>
      </c>
      <c r="B10" s="1" t="s">
        <v>275</v>
      </c>
      <c r="C10" s="1" t="b">
        <v>0</v>
      </c>
      <c r="D10" s="1" t="b">
        <v>0</v>
      </c>
      <c r="E10" s="1" t="b">
        <v>0</v>
      </c>
      <c r="F10" s="1">
        <v>0</v>
      </c>
      <c r="G10" s="1">
        <v>0.47673199999999999</v>
      </c>
      <c r="H10" s="1">
        <v>0.36631200000000003</v>
      </c>
      <c r="I10" s="1">
        <v>0.52094799999999997</v>
      </c>
      <c r="J10" s="1">
        <v>0.71045400000000003</v>
      </c>
      <c r="K10" s="1">
        <v>0.05</v>
      </c>
      <c r="L10" s="1">
        <v>0.57672100000000004</v>
      </c>
      <c r="M10" s="1">
        <v>0.48148099999999999</v>
      </c>
      <c r="N10" s="1">
        <v>0.45466400000000001</v>
      </c>
      <c r="O10" s="1">
        <v>8.6957000000000007E-2</v>
      </c>
      <c r="P10" s="1">
        <v>8.9802999999999994E-2</v>
      </c>
      <c r="Q10" s="1">
        <v>4.9487000000000003E-2</v>
      </c>
      <c r="R10" s="1">
        <v>1.732051</v>
      </c>
      <c r="S10" s="1">
        <v>0.153335</v>
      </c>
      <c r="T10" s="1">
        <v>0</v>
      </c>
      <c r="U10" s="1">
        <v>0</v>
      </c>
      <c r="V10" s="1">
        <v>0</v>
      </c>
      <c r="W10" s="1">
        <v>0</v>
      </c>
      <c r="X10" s="1">
        <v>3.4561000000000001E-2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D023-33CB-0746-8B17-A5EDEBF670CB}">
  <dimension ref="A1:F28"/>
  <sheetViews>
    <sheetView workbookViewId="0">
      <selection activeCell="F7" sqref="F7"/>
    </sheetView>
  </sheetViews>
  <sheetFormatPr baseColWidth="10" defaultRowHeight="16" x14ac:dyDescent="0.2"/>
  <cols>
    <col min="1" max="1" width="12.33203125" bestFit="1" customWidth="1"/>
    <col min="2" max="2" width="7.83203125" bestFit="1" customWidth="1"/>
    <col min="3" max="3" width="17.6640625" bestFit="1" customWidth="1"/>
    <col min="4" max="4" width="13.83203125" bestFit="1" customWidth="1"/>
    <col min="5" max="5" width="21.83203125" bestFit="1" customWidth="1"/>
    <col min="6" max="6" width="15.5" bestFit="1" customWidth="1"/>
  </cols>
  <sheetData>
    <row r="1" spans="1:6" ht="17" x14ac:dyDescent="0.2">
      <c r="A1" s="4" t="s">
        <v>0</v>
      </c>
      <c r="B1" s="4" t="s">
        <v>6</v>
      </c>
      <c r="C1" s="4" t="s">
        <v>78</v>
      </c>
      <c r="D1" s="4" t="s">
        <v>79</v>
      </c>
      <c r="E1" s="4" t="s">
        <v>80</v>
      </c>
      <c r="F1" s="4" t="s">
        <v>81</v>
      </c>
    </row>
    <row r="2" spans="1:6" ht="17" x14ac:dyDescent="0.2">
      <c r="A2" s="1" t="s">
        <v>438</v>
      </c>
      <c r="B2" s="1" t="s">
        <v>63</v>
      </c>
      <c r="C2" s="1">
        <v>23</v>
      </c>
      <c r="D2" s="1">
        <v>26</v>
      </c>
      <c r="E2" s="1">
        <v>0.47703800000000002</v>
      </c>
      <c r="F2" s="1">
        <v>0.88461500000000004</v>
      </c>
    </row>
    <row r="3" spans="1:6" ht="17" x14ac:dyDescent="0.2">
      <c r="A3" s="1" t="s">
        <v>438</v>
      </c>
      <c r="B3" s="1" t="s">
        <v>260</v>
      </c>
      <c r="C3" s="1">
        <v>20</v>
      </c>
      <c r="D3" s="1">
        <v>26</v>
      </c>
      <c r="E3" s="1">
        <v>0.44123800000000002</v>
      </c>
      <c r="F3" s="1">
        <v>0.769231</v>
      </c>
    </row>
    <row r="4" spans="1:6" ht="17" x14ac:dyDescent="0.2">
      <c r="A4" s="1" t="s">
        <v>438</v>
      </c>
      <c r="B4" s="1" t="s">
        <v>262</v>
      </c>
      <c r="C4" s="1">
        <v>23</v>
      </c>
      <c r="D4" s="1">
        <v>26</v>
      </c>
      <c r="E4" s="1">
        <v>0.46539799999999998</v>
      </c>
      <c r="F4" s="1">
        <v>0.88461500000000004</v>
      </c>
    </row>
    <row r="5" spans="1:6" ht="17" x14ac:dyDescent="0.2">
      <c r="A5" s="1" t="s">
        <v>406</v>
      </c>
      <c r="B5" s="1" t="s">
        <v>63</v>
      </c>
      <c r="C5" s="1">
        <v>38</v>
      </c>
      <c r="D5" s="1">
        <v>55</v>
      </c>
      <c r="E5" s="1">
        <v>0.38401800000000003</v>
      </c>
      <c r="F5" s="1">
        <v>0.690909</v>
      </c>
    </row>
    <row r="6" spans="1:6" ht="17" x14ac:dyDescent="0.2">
      <c r="A6" s="1" t="s">
        <v>406</v>
      </c>
      <c r="B6" s="1" t="s">
        <v>260</v>
      </c>
      <c r="C6" s="1">
        <v>38</v>
      </c>
      <c r="D6" s="1">
        <v>55</v>
      </c>
      <c r="E6" s="1">
        <v>0.381745</v>
      </c>
      <c r="F6" s="1">
        <v>0.690909</v>
      </c>
    </row>
    <row r="7" spans="1:6" ht="17" x14ac:dyDescent="0.2">
      <c r="A7" s="1" t="s">
        <v>406</v>
      </c>
      <c r="B7" s="1" t="s">
        <v>261</v>
      </c>
      <c r="C7" s="1">
        <v>33</v>
      </c>
      <c r="D7" s="1">
        <v>55</v>
      </c>
      <c r="E7" s="1">
        <v>0.36208200000000001</v>
      </c>
      <c r="F7" s="1">
        <v>0.6</v>
      </c>
    </row>
    <row r="8" spans="1:6" ht="17" x14ac:dyDescent="0.2">
      <c r="A8" s="1" t="s">
        <v>422</v>
      </c>
      <c r="B8" s="1" t="s">
        <v>63</v>
      </c>
      <c r="C8" s="1">
        <v>30</v>
      </c>
      <c r="D8" s="1">
        <v>45</v>
      </c>
      <c r="E8" s="1">
        <v>0.37073600000000001</v>
      </c>
      <c r="F8" s="1">
        <v>0.66666700000000001</v>
      </c>
    </row>
    <row r="9" spans="1:6" ht="17" x14ac:dyDescent="0.2">
      <c r="A9" s="1" t="s">
        <v>422</v>
      </c>
      <c r="B9" s="1" t="s">
        <v>74</v>
      </c>
      <c r="C9" s="1">
        <v>28</v>
      </c>
      <c r="D9" s="1">
        <v>45</v>
      </c>
      <c r="E9" s="1">
        <v>0.358433</v>
      </c>
      <c r="F9" s="1">
        <v>0.62222200000000005</v>
      </c>
    </row>
    <row r="10" spans="1:6" ht="17" x14ac:dyDescent="0.2">
      <c r="A10" s="1" t="s">
        <v>422</v>
      </c>
      <c r="B10" s="1" t="s">
        <v>75</v>
      </c>
      <c r="C10" s="1">
        <v>36</v>
      </c>
      <c r="D10" s="1">
        <v>45</v>
      </c>
      <c r="E10" s="1">
        <v>0.40646500000000002</v>
      </c>
      <c r="F10" s="1">
        <v>0.8</v>
      </c>
    </row>
    <row r="11" spans="1:6" ht="17" x14ac:dyDescent="0.2">
      <c r="A11" s="1" t="s">
        <v>410</v>
      </c>
      <c r="B11" s="1" t="s">
        <v>63</v>
      </c>
      <c r="C11" s="1">
        <v>40</v>
      </c>
      <c r="D11" s="1">
        <v>50</v>
      </c>
      <c r="E11" s="1">
        <v>0.44336599999999998</v>
      </c>
      <c r="F11" s="1">
        <v>0.8</v>
      </c>
    </row>
    <row r="12" spans="1:6" ht="17" x14ac:dyDescent="0.2">
      <c r="A12" s="1" t="s">
        <v>410</v>
      </c>
      <c r="B12" s="1" t="s">
        <v>260</v>
      </c>
      <c r="C12" s="1">
        <v>43</v>
      </c>
      <c r="D12" s="1">
        <v>50</v>
      </c>
      <c r="E12" s="1">
        <v>0.44818599999999997</v>
      </c>
      <c r="F12" s="1">
        <v>0.86</v>
      </c>
    </row>
    <row r="13" spans="1:6" ht="17" x14ac:dyDescent="0.2">
      <c r="A13" s="1" t="s">
        <v>410</v>
      </c>
      <c r="B13" s="1" t="s">
        <v>262</v>
      </c>
      <c r="C13" s="1">
        <v>44</v>
      </c>
      <c r="D13" s="1">
        <v>50</v>
      </c>
      <c r="E13" s="1">
        <v>0.45368599999999998</v>
      </c>
      <c r="F13" s="1">
        <v>0.88</v>
      </c>
    </row>
    <row r="14" spans="1:6" ht="17" x14ac:dyDescent="0.2">
      <c r="A14" s="1" t="s">
        <v>414</v>
      </c>
      <c r="B14" s="1" t="s">
        <v>63</v>
      </c>
      <c r="C14" s="1">
        <v>23</v>
      </c>
      <c r="D14" s="1">
        <v>49</v>
      </c>
      <c r="E14" s="1">
        <v>0.30935800000000002</v>
      </c>
      <c r="F14" s="1">
        <v>0.46938800000000003</v>
      </c>
    </row>
    <row r="15" spans="1:6" ht="17" x14ac:dyDescent="0.2">
      <c r="A15" s="1" t="s">
        <v>414</v>
      </c>
      <c r="B15" s="1" t="s">
        <v>260</v>
      </c>
      <c r="C15" s="1">
        <v>26</v>
      </c>
      <c r="D15" s="1">
        <v>49</v>
      </c>
      <c r="E15" s="1">
        <v>0.31610899999999997</v>
      </c>
      <c r="F15" s="1">
        <v>0.53061199999999997</v>
      </c>
    </row>
    <row r="16" spans="1:6" ht="17" x14ac:dyDescent="0.2">
      <c r="A16" s="1" t="s">
        <v>414</v>
      </c>
      <c r="B16" s="1" t="s">
        <v>261</v>
      </c>
      <c r="C16" s="1">
        <v>24</v>
      </c>
      <c r="D16" s="1">
        <v>49</v>
      </c>
      <c r="E16" s="1">
        <v>0.30038100000000001</v>
      </c>
      <c r="F16" s="1">
        <v>0.48979600000000001</v>
      </c>
    </row>
    <row r="17" spans="1:6" ht="17" x14ac:dyDescent="0.2">
      <c r="A17" s="1" t="s">
        <v>430</v>
      </c>
      <c r="B17" s="1" t="s">
        <v>63</v>
      </c>
      <c r="C17" s="1">
        <v>69</v>
      </c>
      <c r="D17" s="1">
        <v>82</v>
      </c>
      <c r="E17" s="1">
        <v>0.46426400000000001</v>
      </c>
      <c r="F17" s="1">
        <v>0.84146299999999996</v>
      </c>
    </row>
    <row r="18" spans="1:6" ht="17" x14ac:dyDescent="0.2">
      <c r="A18" s="1" t="s">
        <v>430</v>
      </c>
      <c r="B18" s="1" t="s">
        <v>262</v>
      </c>
      <c r="C18" s="1">
        <v>67</v>
      </c>
      <c r="D18" s="1">
        <v>82</v>
      </c>
      <c r="E18" s="1">
        <v>0.44640099999999999</v>
      </c>
      <c r="F18" s="1">
        <v>0.81707300000000005</v>
      </c>
    </row>
    <row r="19" spans="1:6" ht="17" x14ac:dyDescent="0.2">
      <c r="A19" s="1" t="s">
        <v>430</v>
      </c>
      <c r="B19" s="1" t="s">
        <v>263</v>
      </c>
      <c r="C19" s="1">
        <v>70</v>
      </c>
      <c r="D19" s="1">
        <v>82</v>
      </c>
      <c r="E19" s="1">
        <v>0.46528000000000003</v>
      </c>
      <c r="F19" s="1">
        <v>0.85365899999999995</v>
      </c>
    </row>
    <row r="20" spans="1:6" ht="17" x14ac:dyDescent="0.2">
      <c r="A20" s="1" t="s">
        <v>426</v>
      </c>
      <c r="B20" s="1" t="s">
        <v>63</v>
      </c>
      <c r="C20" s="1">
        <v>51</v>
      </c>
      <c r="D20" s="1">
        <v>57</v>
      </c>
      <c r="E20" s="1">
        <v>0.48849900000000002</v>
      </c>
      <c r="F20" s="1">
        <v>0.894737</v>
      </c>
    </row>
    <row r="21" spans="1:6" ht="17" x14ac:dyDescent="0.2">
      <c r="A21" s="1" t="s">
        <v>426</v>
      </c>
      <c r="B21" s="1" t="s">
        <v>260</v>
      </c>
      <c r="C21" s="1">
        <v>49</v>
      </c>
      <c r="D21" s="1">
        <v>57</v>
      </c>
      <c r="E21" s="1">
        <v>0.49019099999999999</v>
      </c>
      <c r="F21" s="1">
        <v>0.859649</v>
      </c>
    </row>
    <row r="22" spans="1:6" ht="17" x14ac:dyDescent="0.2">
      <c r="A22" s="1" t="s">
        <v>426</v>
      </c>
      <c r="B22" s="1" t="s">
        <v>261</v>
      </c>
      <c r="C22" s="1">
        <v>50</v>
      </c>
      <c r="D22" s="1">
        <v>57</v>
      </c>
      <c r="E22" s="1">
        <v>0.49489</v>
      </c>
      <c r="F22" s="1">
        <v>0.877193</v>
      </c>
    </row>
    <row r="23" spans="1:6" ht="17" x14ac:dyDescent="0.2">
      <c r="A23" s="1" t="s">
        <v>418</v>
      </c>
      <c r="B23" s="1" t="s">
        <v>63</v>
      </c>
      <c r="C23" s="1">
        <v>39</v>
      </c>
      <c r="D23" s="1">
        <v>63</v>
      </c>
      <c r="E23" s="1">
        <v>0.40148299999999998</v>
      </c>
      <c r="F23" s="1">
        <v>0.61904800000000004</v>
      </c>
    </row>
    <row r="24" spans="1:6" ht="17" x14ac:dyDescent="0.2">
      <c r="A24" s="1" t="s">
        <v>418</v>
      </c>
      <c r="B24" s="1" t="s">
        <v>260</v>
      </c>
      <c r="C24" s="1">
        <v>39</v>
      </c>
      <c r="D24" s="1">
        <v>63</v>
      </c>
      <c r="E24" s="1">
        <v>0.40148299999999998</v>
      </c>
      <c r="F24" s="1">
        <v>0.61904800000000004</v>
      </c>
    </row>
    <row r="25" spans="1:6" ht="17" x14ac:dyDescent="0.2">
      <c r="A25" s="1" t="s">
        <v>418</v>
      </c>
      <c r="B25" s="1" t="s">
        <v>261</v>
      </c>
      <c r="C25" s="1">
        <v>43</v>
      </c>
      <c r="D25" s="1">
        <v>63</v>
      </c>
      <c r="E25" s="1">
        <v>0.42638900000000002</v>
      </c>
      <c r="F25" s="1">
        <v>0.68254000000000004</v>
      </c>
    </row>
    <row r="26" spans="1:6" ht="17" x14ac:dyDescent="0.2">
      <c r="A26" s="1" t="s">
        <v>434</v>
      </c>
      <c r="B26" s="1" t="s">
        <v>63</v>
      </c>
      <c r="C26" s="1">
        <v>40</v>
      </c>
      <c r="D26" s="1">
        <v>49</v>
      </c>
      <c r="E26" s="1">
        <v>0.44172400000000001</v>
      </c>
      <c r="F26" s="1">
        <v>0.81632700000000002</v>
      </c>
    </row>
    <row r="27" spans="1:6" ht="17" x14ac:dyDescent="0.2">
      <c r="A27" s="1" t="s">
        <v>434</v>
      </c>
      <c r="B27" s="1" t="s">
        <v>260</v>
      </c>
      <c r="C27" s="1">
        <v>39</v>
      </c>
      <c r="D27" s="1">
        <v>49</v>
      </c>
      <c r="E27" s="1">
        <v>0.43694899999999998</v>
      </c>
      <c r="F27" s="1">
        <v>0.79591800000000001</v>
      </c>
    </row>
    <row r="28" spans="1:6" ht="17" x14ac:dyDescent="0.2">
      <c r="A28" s="1" t="s">
        <v>434</v>
      </c>
      <c r="B28" s="1" t="s">
        <v>261</v>
      </c>
      <c r="C28" s="1">
        <v>39</v>
      </c>
      <c r="D28" s="1">
        <v>49</v>
      </c>
      <c r="E28" s="1">
        <v>0.44986799999999999</v>
      </c>
      <c r="F28" s="1">
        <v>0.79591800000000001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301F-2B39-8F47-B629-CAB0B2DC8222}">
  <dimension ref="A1:I155"/>
  <sheetViews>
    <sheetView zoomScale="157" workbookViewId="0">
      <selection activeCell="F13" sqref="F13"/>
    </sheetView>
  </sheetViews>
  <sheetFormatPr baseColWidth="10" defaultRowHeight="16" x14ac:dyDescent="0.2"/>
  <cols>
    <col min="1" max="1" width="10.6640625" bestFit="1" customWidth="1"/>
    <col min="2" max="2" width="6.5" bestFit="1" customWidth="1"/>
    <col min="3" max="3" width="23.33203125" bestFit="1" customWidth="1"/>
    <col min="4" max="4" width="6.6640625" style="5" customWidth="1"/>
    <col min="8" max="8" width="23.33203125" bestFit="1" customWidth="1"/>
    <col min="9" max="9" width="150.83203125" bestFit="1" customWidth="1"/>
  </cols>
  <sheetData>
    <row r="1" spans="1:9" x14ac:dyDescent="0.2">
      <c r="A1" s="3" t="s">
        <v>0</v>
      </c>
      <c r="B1" s="3" t="s">
        <v>6</v>
      </c>
      <c r="C1" s="3" t="s">
        <v>44</v>
      </c>
      <c r="D1" s="3" t="s">
        <v>82</v>
      </c>
    </row>
    <row r="2" spans="1:9" x14ac:dyDescent="0.2">
      <c r="A2" t="s">
        <v>438</v>
      </c>
      <c r="B2" t="s">
        <v>63</v>
      </c>
      <c r="C2" t="s">
        <v>83</v>
      </c>
      <c r="D2" s="6">
        <v>59</v>
      </c>
      <c r="H2" s="3" t="s">
        <v>90</v>
      </c>
      <c r="I2" s="3" t="s">
        <v>91</v>
      </c>
    </row>
    <row r="3" spans="1:9" x14ac:dyDescent="0.2">
      <c r="A3" t="s">
        <v>438</v>
      </c>
      <c r="B3" t="s">
        <v>63</v>
      </c>
      <c r="C3" t="s">
        <v>84</v>
      </c>
      <c r="D3" s="6">
        <v>2</v>
      </c>
      <c r="H3" t="s">
        <v>85</v>
      </c>
      <c r="I3" t="s">
        <v>92</v>
      </c>
    </row>
    <row r="4" spans="1:9" x14ac:dyDescent="0.2">
      <c r="A4" t="s">
        <v>438</v>
      </c>
      <c r="B4" t="s">
        <v>63</v>
      </c>
      <c r="C4" t="s">
        <v>88</v>
      </c>
      <c r="D4" s="6">
        <v>84</v>
      </c>
      <c r="H4" t="s">
        <v>86</v>
      </c>
      <c r="I4" t="s">
        <v>93</v>
      </c>
    </row>
    <row r="5" spans="1:9" x14ac:dyDescent="0.2">
      <c r="A5" t="s">
        <v>438</v>
      </c>
      <c r="B5" t="s">
        <v>63</v>
      </c>
      <c r="C5" t="s">
        <v>89</v>
      </c>
      <c r="D5" s="6">
        <v>8</v>
      </c>
      <c r="H5" t="s">
        <v>87</v>
      </c>
      <c r="I5" t="s">
        <v>94</v>
      </c>
    </row>
    <row r="6" spans="1:9" x14ac:dyDescent="0.2">
      <c r="A6" t="s">
        <v>438</v>
      </c>
      <c r="B6" t="s">
        <v>260</v>
      </c>
      <c r="C6" t="s">
        <v>83</v>
      </c>
      <c r="D6" s="6">
        <v>54</v>
      </c>
      <c r="H6" t="s">
        <v>83</v>
      </c>
      <c r="I6" t="s">
        <v>95</v>
      </c>
    </row>
    <row r="7" spans="1:9" x14ac:dyDescent="0.2">
      <c r="A7" t="s">
        <v>438</v>
      </c>
      <c r="B7" t="s">
        <v>260</v>
      </c>
      <c r="C7" t="s">
        <v>88</v>
      </c>
      <c r="D7" s="6">
        <v>74</v>
      </c>
      <c r="H7" t="s">
        <v>89</v>
      </c>
      <c r="I7" t="s">
        <v>96</v>
      </c>
    </row>
    <row r="8" spans="1:9" x14ac:dyDescent="0.2">
      <c r="A8" t="s">
        <v>438</v>
      </c>
      <c r="B8" t="s">
        <v>260</v>
      </c>
      <c r="C8" t="s">
        <v>89</v>
      </c>
      <c r="D8" s="6">
        <v>9</v>
      </c>
      <c r="H8" t="s">
        <v>84</v>
      </c>
      <c r="I8" t="s">
        <v>97</v>
      </c>
    </row>
    <row r="9" spans="1:9" x14ac:dyDescent="0.2">
      <c r="A9" t="s">
        <v>438</v>
      </c>
      <c r="B9" t="s">
        <v>262</v>
      </c>
      <c r="C9" t="s">
        <v>83</v>
      </c>
      <c r="D9" s="6">
        <v>66</v>
      </c>
      <c r="H9" t="s">
        <v>98</v>
      </c>
      <c r="I9" t="s">
        <v>99</v>
      </c>
    </row>
    <row r="10" spans="1:9" x14ac:dyDescent="0.2">
      <c r="A10" t="s">
        <v>438</v>
      </c>
      <c r="B10" t="s">
        <v>262</v>
      </c>
      <c r="C10" t="s">
        <v>84</v>
      </c>
      <c r="D10" s="6">
        <v>1</v>
      </c>
      <c r="H10" t="s">
        <v>100</v>
      </c>
      <c r="I10" t="s">
        <v>101</v>
      </c>
    </row>
    <row r="11" spans="1:9" x14ac:dyDescent="0.2">
      <c r="A11" t="s">
        <v>438</v>
      </c>
      <c r="B11" t="s">
        <v>262</v>
      </c>
      <c r="C11" t="s">
        <v>88</v>
      </c>
      <c r="D11" s="7">
        <v>86</v>
      </c>
      <c r="H11" t="s">
        <v>88</v>
      </c>
      <c r="I11" t="s">
        <v>102</v>
      </c>
    </row>
    <row r="12" spans="1:9" x14ac:dyDescent="0.2">
      <c r="A12" t="s">
        <v>438</v>
      </c>
      <c r="B12" t="s">
        <v>262</v>
      </c>
      <c r="C12" t="s">
        <v>89</v>
      </c>
      <c r="D12" s="7">
        <v>12</v>
      </c>
    </row>
    <row r="13" spans="1:9" x14ac:dyDescent="0.2">
      <c r="A13" t="s">
        <v>406</v>
      </c>
      <c r="B13" t="s">
        <v>63</v>
      </c>
      <c r="C13" t="s">
        <v>83</v>
      </c>
      <c r="D13" s="7">
        <v>93</v>
      </c>
    </row>
    <row r="14" spans="1:9" x14ac:dyDescent="0.2">
      <c r="A14" t="s">
        <v>406</v>
      </c>
      <c r="B14" t="s">
        <v>63</v>
      </c>
      <c r="C14" t="s">
        <v>84</v>
      </c>
      <c r="D14" s="7">
        <v>2</v>
      </c>
    </row>
    <row r="15" spans="1:9" x14ac:dyDescent="0.2">
      <c r="A15" t="s">
        <v>406</v>
      </c>
      <c r="B15" t="s">
        <v>63</v>
      </c>
      <c r="C15" t="s">
        <v>88</v>
      </c>
      <c r="D15" s="7">
        <v>75</v>
      </c>
    </row>
    <row r="16" spans="1:9" x14ac:dyDescent="0.2">
      <c r="A16" t="s">
        <v>406</v>
      </c>
      <c r="B16" t="s">
        <v>63</v>
      </c>
      <c r="C16" t="s">
        <v>89</v>
      </c>
      <c r="D16" s="7">
        <v>8</v>
      </c>
    </row>
    <row r="17" spans="1:4" x14ac:dyDescent="0.2">
      <c r="A17" t="s">
        <v>406</v>
      </c>
      <c r="B17" t="s">
        <v>260</v>
      </c>
      <c r="C17" t="s">
        <v>83</v>
      </c>
      <c r="D17" s="7">
        <v>93</v>
      </c>
    </row>
    <row r="18" spans="1:4" x14ac:dyDescent="0.2">
      <c r="A18" t="s">
        <v>406</v>
      </c>
      <c r="B18" t="s">
        <v>260</v>
      </c>
      <c r="C18" t="s">
        <v>84</v>
      </c>
      <c r="D18" s="7">
        <v>2</v>
      </c>
    </row>
    <row r="19" spans="1:4" x14ac:dyDescent="0.2">
      <c r="A19" t="s">
        <v>406</v>
      </c>
      <c r="B19" t="s">
        <v>260</v>
      </c>
      <c r="C19" t="s">
        <v>88</v>
      </c>
      <c r="D19" s="7">
        <v>74</v>
      </c>
    </row>
    <row r="20" spans="1:4" x14ac:dyDescent="0.2">
      <c r="A20" t="s">
        <v>406</v>
      </c>
      <c r="B20" t="s">
        <v>260</v>
      </c>
      <c r="C20" t="s">
        <v>89</v>
      </c>
      <c r="D20" s="7">
        <v>7</v>
      </c>
    </row>
    <row r="21" spans="1:4" x14ac:dyDescent="0.2">
      <c r="A21" t="s">
        <v>406</v>
      </c>
      <c r="B21" t="s">
        <v>261</v>
      </c>
      <c r="C21" t="s">
        <v>83</v>
      </c>
      <c r="D21" s="7">
        <v>94</v>
      </c>
    </row>
    <row r="22" spans="1:4" x14ac:dyDescent="0.2">
      <c r="A22" t="s">
        <v>406</v>
      </c>
      <c r="B22" t="s">
        <v>261</v>
      </c>
      <c r="C22" t="s">
        <v>84</v>
      </c>
      <c r="D22" s="7">
        <v>2</v>
      </c>
    </row>
    <row r="23" spans="1:4" x14ac:dyDescent="0.2">
      <c r="A23" t="s">
        <v>406</v>
      </c>
      <c r="B23" t="s">
        <v>261</v>
      </c>
      <c r="C23" t="s">
        <v>88</v>
      </c>
      <c r="D23" s="7">
        <v>80</v>
      </c>
    </row>
    <row r="24" spans="1:4" x14ac:dyDescent="0.2">
      <c r="A24" t="s">
        <v>406</v>
      </c>
      <c r="B24" t="s">
        <v>261</v>
      </c>
      <c r="C24" t="s">
        <v>89</v>
      </c>
      <c r="D24" s="7">
        <v>10</v>
      </c>
    </row>
    <row r="25" spans="1:4" x14ac:dyDescent="0.2">
      <c r="A25" t="s">
        <v>422</v>
      </c>
      <c r="B25" t="s">
        <v>63</v>
      </c>
      <c r="C25" t="s">
        <v>83</v>
      </c>
      <c r="D25" s="7">
        <v>75</v>
      </c>
    </row>
    <row r="26" spans="1:4" x14ac:dyDescent="0.2">
      <c r="A26" t="s">
        <v>422</v>
      </c>
      <c r="B26" t="s">
        <v>63</v>
      </c>
      <c r="C26" t="s">
        <v>88</v>
      </c>
      <c r="D26" s="7">
        <v>66</v>
      </c>
    </row>
    <row r="27" spans="1:4" x14ac:dyDescent="0.2">
      <c r="A27" t="s">
        <v>422</v>
      </c>
      <c r="B27" t="s">
        <v>63</v>
      </c>
      <c r="C27" t="s">
        <v>89</v>
      </c>
      <c r="D27" s="7">
        <v>4</v>
      </c>
    </row>
    <row r="28" spans="1:4" x14ac:dyDescent="0.2">
      <c r="A28" t="s">
        <v>422</v>
      </c>
      <c r="B28" t="s">
        <v>74</v>
      </c>
      <c r="C28" t="s">
        <v>83</v>
      </c>
      <c r="D28" s="7">
        <v>87</v>
      </c>
    </row>
    <row r="29" spans="1:4" x14ac:dyDescent="0.2">
      <c r="A29" t="s">
        <v>422</v>
      </c>
      <c r="B29" t="s">
        <v>74</v>
      </c>
      <c r="C29" t="s">
        <v>88</v>
      </c>
      <c r="D29" s="7">
        <v>83</v>
      </c>
    </row>
    <row r="30" spans="1:4" x14ac:dyDescent="0.2">
      <c r="A30" t="s">
        <v>422</v>
      </c>
      <c r="B30" t="s">
        <v>74</v>
      </c>
      <c r="C30" t="s">
        <v>89</v>
      </c>
      <c r="D30" s="7">
        <v>3</v>
      </c>
    </row>
    <row r="31" spans="1:4" x14ac:dyDescent="0.2">
      <c r="A31" t="s">
        <v>422</v>
      </c>
      <c r="B31" t="s">
        <v>75</v>
      </c>
      <c r="C31" t="s">
        <v>83</v>
      </c>
      <c r="D31" s="7">
        <v>88</v>
      </c>
    </row>
    <row r="32" spans="1:4" x14ac:dyDescent="0.2">
      <c r="A32" t="s">
        <v>422</v>
      </c>
      <c r="B32" t="s">
        <v>75</v>
      </c>
      <c r="C32" t="s">
        <v>88</v>
      </c>
      <c r="D32" s="7">
        <v>74</v>
      </c>
    </row>
    <row r="33" spans="1:4" x14ac:dyDescent="0.2">
      <c r="A33" t="s">
        <v>422</v>
      </c>
      <c r="B33" t="s">
        <v>75</v>
      </c>
      <c r="C33" t="s">
        <v>89</v>
      </c>
      <c r="D33" s="7">
        <v>3</v>
      </c>
    </row>
    <row r="34" spans="1:4" x14ac:dyDescent="0.2">
      <c r="A34" t="s">
        <v>410</v>
      </c>
      <c r="B34" t="s">
        <v>63</v>
      </c>
      <c r="C34" t="s">
        <v>83</v>
      </c>
      <c r="D34" s="7">
        <v>80</v>
      </c>
    </row>
    <row r="35" spans="1:4" x14ac:dyDescent="0.2">
      <c r="A35" t="s">
        <v>410</v>
      </c>
      <c r="B35" t="s">
        <v>63</v>
      </c>
      <c r="C35" t="s">
        <v>88</v>
      </c>
      <c r="D35" s="7">
        <v>87</v>
      </c>
    </row>
    <row r="36" spans="1:4" x14ac:dyDescent="0.2">
      <c r="A36" t="s">
        <v>410</v>
      </c>
      <c r="B36" t="s">
        <v>63</v>
      </c>
      <c r="C36" t="s">
        <v>89</v>
      </c>
      <c r="D36" s="7">
        <v>10</v>
      </c>
    </row>
    <row r="37" spans="1:4" x14ac:dyDescent="0.2">
      <c r="A37" t="s">
        <v>410</v>
      </c>
      <c r="B37" t="s">
        <v>260</v>
      </c>
      <c r="C37" t="s">
        <v>83</v>
      </c>
      <c r="D37" s="7">
        <v>75</v>
      </c>
    </row>
    <row r="38" spans="1:4" x14ac:dyDescent="0.2">
      <c r="A38" t="s">
        <v>410</v>
      </c>
      <c r="B38" t="s">
        <v>260</v>
      </c>
      <c r="C38" t="s">
        <v>88</v>
      </c>
      <c r="D38" s="7">
        <v>86</v>
      </c>
    </row>
    <row r="39" spans="1:4" x14ac:dyDescent="0.2">
      <c r="A39" t="s">
        <v>410</v>
      </c>
      <c r="B39" t="s">
        <v>260</v>
      </c>
      <c r="C39" t="s">
        <v>89</v>
      </c>
      <c r="D39" s="7">
        <v>4</v>
      </c>
    </row>
    <row r="40" spans="1:4" x14ac:dyDescent="0.2">
      <c r="A40" t="s">
        <v>410</v>
      </c>
      <c r="B40" t="s">
        <v>262</v>
      </c>
      <c r="C40" t="s">
        <v>83</v>
      </c>
      <c r="D40" s="7">
        <v>87</v>
      </c>
    </row>
    <row r="41" spans="1:4" x14ac:dyDescent="0.2">
      <c r="A41" t="s">
        <v>410</v>
      </c>
      <c r="B41" t="s">
        <v>262</v>
      </c>
      <c r="C41" t="s">
        <v>88</v>
      </c>
      <c r="D41" s="7">
        <v>78</v>
      </c>
    </row>
    <row r="42" spans="1:4" x14ac:dyDescent="0.2">
      <c r="A42" t="s">
        <v>410</v>
      </c>
      <c r="B42" t="s">
        <v>262</v>
      </c>
      <c r="C42" t="s">
        <v>89</v>
      </c>
      <c r="D42" s="7">
        <v>10</v>
      </c>
    </row>
    <row r="43" spans="1:4" x14ac:dyDescent="0.2">
      <c r="A43" t="s">
        <v>414</v>
      </c>
      <c r="B43" t="s">
        <v>63</v>
      </c>
      <c r="C43" t="s">
        <v>83</v>
      </c>
      <c r="D43" s="7">
        <v>63</v>
      </c>
    </row>
    <row r="44" spans="1:4" x14ac:dyDescent="0.2">
      <c r="A44" t="s">
        <v>414</v>
      </c>
      <c r="B44" t="s">
        <v>63</v>
      </c>
      <c r="C44" t="s">
        <v>84</v>
      </c>
      <c r="D44" s="7">
        <v>2</v>
      </c>
    </row>
    <row r="45" spans="1:4" x14ac:dyDescent="0.2">
      <c r="A45" t="s">
        <v>414</v>
      </c>
      <c r="B45" t="s">
        <v>63</v>
      </c>
      <c r="C45" t="s">
        <v>88</v>
      </c>
      <c r="D45" s="7">
        <v>85</v>
      </c>
    </row>
    <row r="46" spans="1:4" x14ac:dyDescent="0.2">
      <c r="A46" t="s">
        <v>414</v>
      </c>
      <c r="B46" t="s">
        <v>63</v>
      </c>
      <c r="C46" t="s">
        <v>89</v>
      </c>
      <c r="D46" s="7">
        <v>6</v>
      </c>
    </row>
    <row r="47" spans="1:4" x14ac:dyDescent="0.2">
      <c r="A47" t="s">
        <v>414</v>
      </c>
      <c r="B47" t="s">
        <v>260</v>
      </c>
      <c r="C47" t="s">
        <v>83</v>
      </c>
      <c r="D47" s="7">
        <v>93</v>
      </c>
    </row>
    <row r="48" spans="1:4" x14ac:dyDescent="0.2">
      <c r="A48" t="s">
        <v>414</v>
      </c>
      <c r="B48" t="s">
        <v>260</v>
      </c>
      <c r="C48" t="s">
        <v>84</v>
      </c>
      <c r="D48" s="7">
        <v>2</v>
      </c>
    </row>
    <row r="49" spans="1:4" x14ac:dyDescent="0.2">
      <c r="A49" t="s">
        <v>414</v>
      </c>
      <c r="B49" t="s">
        <v>260</v>
      </c>
      <c r="C49" t="s">
        <v>88</v>
      </c>
      <c r="D49" s="7">
        <v>81</v>
      </c>
    </row>
    <row r="50" spans="1:4" x14ac:dyDescent="0.2">
      <c r="A50" t="s">
        <v>414</v>
      </c>
      <c r="B50" t="s">
        <v>260</v>
      </c>
      <c r="C50" t="s">
        <v>89</v>
      </c>
      <c r="D50" s="7">
        <v>3</v>
      </c>
    </row>
    <row r="51" spans="1:4" x14ac:dyDescent="0.2">
      <c r="A51" t="s">
        <v>414</v>
      </c>
      <c r="B51" t="s">
        <v>261</v>
      </c>
      <c r="C51" t="s">
        <v>83</v>
      </c>
      <c r="D51" s="7">
        <v>97</v>
      </c>
    </row>
    <row r="52" spans="1:4" x14ac:dyDescent="0.2">
      <c r="A52" t="s">
        <v>414</v>
      </c>
      <c r="B52" t="s">
        <v>261</v>
      </c>
      <c r="C52" t="s">
        <v>84</v>
      </c>
      <c r="D52" s="7">
        <v>2</v>
      </c>
    </row>
    <row r="53" spans="1:4" x14ac:dyDescent="0.2">
      <c r="A53" t="s">
        <v>414</v>
      </c>
      <c r="B53" t="s">
        <v>261</v>
      </c>
      <c r="C53" t="s">
        <v>88</v>
      </c>
      <c r="D53" s="7">
        <v>86</v>
      </c>
    </row>
    <row r="54" spans="1:4" x14ac:dyDescent="0.2">
      <c r="A54" t="s">
        <v>414</v>
      </c>
      <c r="B54" t="s">
        <v>261</v>
      </c>
      <c r="C54" t="s">
        <v>89</v>
      </c>
      <c r="D54" s="7">
        <v>11</v>
      </c>
    </row>
    <row r="55" spans="1:4" x14ac:dyDescent="0.2">
      <c r="A55" t="s">
        <v>430</v>
      </c>
      <c r="B55" t="s">
        <v>63</v>
      </c>
      <c r="C55" t="s">
        <v>83</v>
      </c>
      <c r="D55" s="7">
        <v>78</v>
      </c>
    </row>
    <row r="56" spans="1:4" x14ac:dyDescent="0.2">
      <c r="A56" t="s">
        <v>430</v>
      </c>
      <c r="B56" t="s">
        <v>63</v>
      </c>
      <c r="C56" t="s">
        <v>88</v>
      </c>
      <c r="D56" s="7">
        <v>95</v>
      </c>
    </row>
    <row r="57" spans="1:4" x14ac:dyDescent="0.2">
      <c r="A57" t="s">
        <v>430</v>
      </c>
      <c r="B57" t="s">
        <v>63</v>
      </c>
      <c r="C57" t="s">
        <v>89</v>
      </c>
      <c r="D57" s="7">
        <v>4</v>
      </c>
    </row>
    <row r="58" spans="1:4" x14ac:dyDescent="0.2">
      <c r="A58" t="s">
        <v>430</v>
      </c>
      <c r="B58" t="s">
        <v>262</v>
      </c>
      <c r="C58" t="s">
        <v>83</v>
      </c>
      <c r="D58" s="7">
        <v>78</v>
      </c>
    </row>
    <row r="59" spans="1:4" x14ac:dyDescent="0.2">
      <c r="A59" t="s">
        <v>430</v>
      </c>
      <c r="B59" t="s">
        <v>262</v>
      </c>
      <c r="C59" t="s">
        <v>88</v>
      </c>
      <c r="D59" s="7">
        <v>91</v>
      </c>
    </row>
    <row r="60" spans="1:4" x14ac:dyDescent="0.2">
      <c r="A60" t="s">
        <v>430</v>
      </c>
      <c r="B60" t="s">
        <v>262</v>
      </c>
      <c r="C60" t="s">
        <v>89</v>
      </c>
      <c r="D60" s="7">
        <v>3</v>
      </c>
    </row>
    <row r="61" spans="1:4" x14ac:dyDescent="0.2">
      <c r="A61" t="s">
        <v>430</v>
      </c>
      <c r="B61" t="s">
        <v>263</v>
      </c>
      <c r="C61" t="s">
        <v>83</v>
      </c>
      <c r="D61" s="7">
        <v>78</v>
      </c>
    </row>
    <row r="62" spans="1:4" x14ac:dyDescent="0.2">
      <c r="A62" t="s">
        <v>430</v>
      </c>
      <c r="B62" t="s">
        <v>263</v>
      </c>
      <c r="C62" t="s">
        <v>88</v>
      </c>
      <c r="D62" s="7">
        <v>97</v>
      </c>
    </row>
    <row r="63" spans="1:4" x14ac:dyDescent="0.2">
      <c r="A63" t="s">
        <v>430</v>
      </c>
      <c r="B63" t="s">
        <v>263</v>
      </c>
      <c r="C63" t="s">
        <v>89</v>
      </c>
      <c r="D63" s="7">
        <v>1</v>
      </c>
    </row>
    <row r="64" spans="1:4" x14ac:dyDescent="0.2">
      <c r="A64" t="s">
        <v>426</v>
      </c>
      <c r="B64" t="s">
        <v>63</v>
      </c>
      <c r="C64" t="s">
        <v>83</v>
      </c>
      <c r="D64" s="7">
        <v>56</v>
      </c>
    </row>
    <row r="65" spans="1:4" x14ac:dyDescent="0.2">
      <c r="A65" t="s">
        <v>426</v>
      </c>
      <c r="B65" t="s">
        <v>63</v>
      </c>
      <c r="C65" t="s">
        <v>84</v>
      </c>
      <c r="D65" s="7">
        <v>1</v>
      </c>
    </row>
    <row r="66" spans="1:4" x14ac:dyDescent="0.2">
      <c r="A66" t="s">
        <v>426</v>
      </c>
      <c r="B66" t="s">
        <v>63</v>
      </c>
      <c r="C66" t="s">
        <v>88</v>
      </c>
      <c r="D66" s="7">
        <v>88</v>
      </c>
    </row>
    <row r="67" spans="1:4" x14ac:dyDescent="0.2">
      <c r="A67" t="s">
        <v>426</v>
      </c>
      <c r="B67" t="s">
        <v>63</v>
      </c>
      <c r="C67" t="s">
        <v>89</v>
      </c>
      <c r="D67" s="7">
        <v>10</v>
      </c>
    </row>
    <row r="68" spans="1:4" x14ac:dyDescent="0.2">
      <c r="A68" t="s">
        <v>426</v>
      </c>
      <c r="B68" t="s">
        <v>260</v>
      </c>
      <c r="C68" t="s">
        <v>83</v>
      </c>
      <c r="D68" s="7">
        <v>54</v>
      </c>
    </row>
    <row r="69" spans="1:4" x14ac:dyDescent="0.2">
      <c r="A69" t="s">
        <v>426</v>
      </c>
      <c r="B69" t="s">
        <v>260</v>
      </c>
      <c r="C69" t="s">
        <v>84</v>
      </c>
      <c r="D69" s="7">
        <v>1</v>
      </c>
    </row>
    <row r="70" spans="1:4" x14ac:dyDescent="0.2">
      <c r="A70" t="s">
        <v>426</v>
      </c>
      <c r="B70" t="s">
        <v>260</v>
      </c>
      <c r="C70" t="s">
        <v>88</v>
      </c>
      <c r="D70" s="7">
        <v>91</v>
      </c>
    </row>
    <row r="71" spans="1:4" x14ac:dyDescent="0.2">
      <c r="A71" t="s">
        <v>426</v>
      </c>
      <c r="B71" t="s">
        <v>260</v>
      </c>
      <c r="C71" t="s">
        <v>89</v>
      </c>
      <c r="D71" s="7">
        <v>8</v>
      </c>
    </row>
    <row r="72" spans="1:4" x14ac:dyDescent="0.2">
      <c r="A72" t="s">
        <v>426</v>
      </c>
      <c r="B72" t="s">
        <v>261</v>
      </c>
      <c r="C72" t="s">
        <v>83</v>
      </c>
      <c r="D72" s="7">
        <v>68</v>
      </c>
    </row>
    <row r="73" spans="1:4" x14ac:dyDescent="0.2">
      <c r="A73" t="s">
        <v>426</v>
      </c>
      <c r="B73" t="s">
        <v>261</v>
      </c>
      <c r="C73" t="s">
        <v>84</v>
      </c>
      <c r="D73" s="7">
        <v>2</v>
      </c>
    </row>
    <row r="74" spans="1:4" x14ac:dyDescent="0.2">
      <c r="A74" t="s">
        <v>426</v>
      </c>
      <c r="B74" t="s">
        <v>261</v>
      </c>
      <c r="C74" t="s">
        <v>88</v>
      </c>
      <c r="D74" s="7">
        <v>82</v>
      </c>
    </row>
    <row r="75" spans="1:4" x14ac:dyDescent="0.2">
      <c r="A75" t="s">
        <v>426</v>
      </c>
      <c r="B75" t="s">
        <v>261</v>
      </c>
      <c r="C75" t="s">
        <v>89</v>
      </c>
      <c r="D75" s="7">
        <v>6</v>
      </c>
    </row>
    <row r="76" spans="1:4" x14ac:dyDescent="0.2">
      <c r="A76" t="s">
        <v>418</v>
      </c>
      <c r="B76" t="s">
        <v>63</v>
      </c>
      <c r="C76" t="s">
        <v>83</v>
      </c>
      <c r="D76" s="7">
        <v>75</v>
      </c>
    </row>
    <row r="77" spans="1:4" x14ac:dyDescent="0.2">
      <c r="A77" t="s">
        <v>418</v>
      </c>
      <c r="B77" t="s">
        <v>63</v>
      </c>
      <c r="C77" t="s">
        <v>84</v>
      </c>
      <c r="D77" s="7">
        <v>3</v>
      </c>
    </row>
    <row r="78" spans="1:4" x14ac:dyDescent="0.2">
      <c r="A78" t="s">
        <v>418</v>
      </c>
      <c r="B78" t="s">
        <v>63</v>
      </c>
      <c r="C78" t="s">
        <v>86</v>
      </c>
      <c r="D78" s="7">
        <v>1</v>
      </c>
    </row>
    <row r="79" spans="1:4" x14ac:dyDescent="0.2">
      <c r="A79" t="s">
        <v>418</v>
      </c>
      <c r="B79" t="s">
        <v>63</v>
      </c>
      <c r="C79" t="s">
        <v>88</v>
      </c>
      <c r="D79" s="7">
        <v>94</v>
      </c>
    </row>
    <row r="80" spans="1:4" x14ac:dyDescent="0.2">
      <c r="A80" t="s">
        <v>418</v>
      </c>
      <c r="B80" t="s">
        <v>63</v>
      </c>
      <c r="C80" t="s">
        <v>89</v>
      </c>
      <c r="D80" s="7">
        <v>8</v>
      </c>
    </row>
    <row r="81" spans="1:4" x14ac:dyDescent="0.2">
      <c r="A81" t="s">
        <v>418</v>
      </c>
      <c r="B81" t="s">
        <v>260</v>
      </c>
      <c r="C81" t="s">
        <v>83</v>
      </c>
      <c r="D81" s="7">
        <v>78</v>
      </c>
    </row>
    <row r="82" spans="1:4" x14ac:dyDescent="0.2">
      <c r="A82" t="s">
        <v>418</v>
      </c>
      <c r="B82" t="s">
        <v>260</v>
      </c>
      <c r="C82" t="s">
        <v>84</v>
      </c>
      <c r="D82" s="7">
        <v>2</v>
      </c>
    </row>
    <row r="83" spans="1:4" x14ac:dyDescent="0.2">
      <c r="A83" t="s">
        <v>418</v>
      </c>
      <c r="B83" t="s">
        <v>260</v>
      </c>
      <c r="C83" t="s">
        <v>86</v>
      </c>
      <c r="D83" s="7">
        <v>1</v>
      </c>
    </row>
    <row r="84" spans="1:4" x14ac:dyDescent="0.2">
      <c r="A84" t="s">
        <v>418</v>
      </c>
      <c r="B84" t="s">
        <v>260</v>
      </c>
      <c r="C84" t="s">
        <v>88</v>
      </c>
      <c r="D84" s="7">
        <v>95</v>
      </c>
    </row>
    <row r="85" spans="1:4" x14ac:dyDescent="0.2">
      <c r="A85" t="s">
        <v>418</v>
      </c>
      <c r="B85" t="s">
        <v>260</v>
      </c>
      <c r="C85" t="s">
        <v>89</v>
      </c>
      <c r="D85" s="7">
        <v>10</v>
      </c>
    </row>
    <row r="86" spans="1:4" x14ac:dyDescent="0.2">
      <c r="A86" t="s">
        <v>418</v>
      </c>
      <c r="B86" t="s">
        <v>261</v>
      </c>
      <c r="C86" t="s">
        <v>83</v>
      </c>
      <c r="D86" s="7">
        <v>72</v>
      </c>
    </row>
    <row r="87" spans="1:4" x14ac:dyDescent="0.2">
      <c r="A87" t="s">
        <v>418</v>
      </c>
      <c r="B87" t="s">
        <v>261</v>
      </c>
      <c r="C87" t="s">
        <v>84</v>
      </c>
      <c r="D87" s="7">
        <v>3</v>
      </c>
    </row>
    <row r="88" spans="1:4" x14ac:dyDescent="0.2">
      <c r="A88" t="s">
        <v>418</v>
      </c>
      <c r="B88" t="s">
        <v>261</v>
      </c>
      <c r="C88" t="s">
        <v>88</v>
      </c>
      <c r="D88" s="7">
        <v>92</v>
      </c>
    </row>
    <row r="89" spans="1:4" x14ac:dyDescent="0.2">
      <c r="A89" t="s">
        <v>418</v>
      </c>
      <c r="B89" t="s">
        <v>261</v>
      </c>
      <c r="C89" t="s">
        <v>89</v>
      </c>
      <c r="D89" s="7">
        <v>12</v>
      </c>
    </row>
    <row r="90" spans="1:4" x14ac:dyDescent="0.2">
      <c r="A90" t="s">
        <v>434</v>
      </c>
      <c r="B90" t="s">
        <v>63</v>
      </c>
      <c r="C90" t="s">
        <v>83</v>
      </c>
      <c r="D90" s="7">
        <v>76</v>
      </c>
    </row>
    <row r="91" spans="1:4" x14ac:dyDescent="0.2">
      <c r="A91" t="s">
        <v>434</v>
      </c>
      <c r="B91" t="s">
        <v>63</v>
      </c>
      <c r="C91" t="s">
        <v>88</v>
      </c>
      <c r="D91" s="7">
        <v>103</v>
      </c>
    </row>
    <row r="92" spans="1:4" x14ac:dyDescent="0.2">
      <c r="A92" t="s">
        <v>434</v>
      </c>
      <c r="B92" t="s">
        <v>63</v>
      </c>
      <c r="C92" t="s">
        <v>89</v>
      </c>
      <c r="D92" s="7">
        <v>12</v>
      </c>
    </row>
    <row r="93" spans="1:4" x14ac:dyDescent="0.2">
      <c r="A93" t="s">
        <v>434</v>
      </c>
      <c r="B93" t="s">
        <v>260</v>
      </c>
      <c r="C93" t="s">
        <v>83</v>
      </c>
      <c r="D93" s="7">
        <v>82</v>
      </c>
    </row>
    <row r="94" spans="1:4" x14ac:dyDescent="0.2">
      <c r="A94" t="s">
        <v>434</v>
      </c>
      <c r="B94" t="s">
        <v>260</v>
      </c>
      <c r="C94" t="s">
        <v>88</v>
      </c>
      <c r="D94" s="7">
        <v>102</v>
      </c>
    </row>
    <row r="95" spans="1:4" x14ac:dyDescent="0.2">
      <c r="A95" t="s">
        <v>434</v>
      </c>
      <c r="B95" t="s">
        <v>260</v>
      </c>
      <c r="C95" t="s">
        <v>89</v>
      </c>
      <c r="D95" s="7">
        <v>6</v>
      </c>
    </row>
    <row r="96" spans="1:4" x14ac:dyDescent="0.2">
      <c r="A96" t="s">
        <v>434</v>
      </c>
      <c r="B96" t="s">
        <v>261</v>
      </c>
      <c r="C96" t="s">
        <v>83</v>
      </c>
      <c r="D96" s="7">
        <v>91</v>
      </c>
    </row>
    <row r="97" spans="1:4" x14ac:dyDescent="0.2">
      <c r="A97" t="s">
        <v>434</v>
      </c>
      <c r="B97" t="s">
        <v>261</v>
      </c>
      <c r="C97" t="s">
        <v>88</v>
      </c>
      <c r="D97" s="7">
        <v>98</v>
      </c>
    </row>
    <row r="98" spans="1:4" x14ac:dyDescent="0.2">
      <c r="A98" t="s">
        <v>434</v>
      </c>
      <c r="B98" t="s">
        <v>261</v>
      </c>
      <c r="C98" t="s">
        <v>89</v>
      </c>
      <c r="D98" s="7">
        <v>11</v>
      </c>
    </row>
    <row r="99" spans="1:4" x14ac:dyDescent="0.2">
      <c r="D99" s="7"/>
    </row>
    <row r="100" spans="1:4" x14ac:dyDescent="0.2">
      <c r="D100" s="7"/>
    </row>
    <row r="101" spans="1:4" x14ac:dyDescent="0.2">
      <c r="D101" s="7"/>
    </row>
    <row r="102" spans="1:4" x14ac:dyDescent="0.2">
      <c r="D102" s="7"/>
    </row>
    <row r="103" spans="1:4" x14ac:dyDescent="0.2">
      <c r="D103" s="7"/>
    </row>
    <row r="104" spans="1:4" x14ac:dyDescent="0.2">
      <c r="D104" s="7"/>
    </row>
    <row r="105" spans="1:4" x14ac:dyDescent="0.2">
      <c r="D105" s="7"/>
    </row>
    <row r="106" spans="1:4" x14ac:dyDescent="0.2">
      <c r="D106" s="7"/>
    </row>
    <row r="107" spans="1:4" x14ac:dyDescent="0.2">
      <c r="D107" s="7"/>
    </row>
    <row r="108" spans="1:4" x14ac:dyDescent="0.2">
      <c r="D108" s="7"/>
    </row>
    <row r="109" spans="1:4" x14ac:dyDescent="0.2">
      <c r="D109" s="7"/>
    </row>
    <row r="110" spans="1:4" x14ac:dyDescent="0.2">
      <c r="D110" s="7"/>
    </row>
    <row r="111" spans="1:4" x14ac:dyDescent="0.2">
      <c r="D111" s="7"/>
    </row>
    <row r="112" spans="1:4" x14ac:dyDescent="0.2">
      <c r="D112" s="7"/>
    </row>
    <row r="113" spans="4:4" x14ac:dyDescent="0.2">
      <c r="D113" s="7"/>
    </row>
    <row r="114" spans="4:4" x14ac:dyDescent="0.2">
      <c r="D114" s="7"/>
    </row>
    <row r="115" spans="4:4" x14ac:dyDescent="0.2">
      <c r="D115" s="7"/>
    </row>
    <row r="116" spans="4:4" x14ac:dyDescent="0.2">
      <c r="D116" s="7"/>
    </row>
    <row r="117" spans="4:4" x14ac:dyDescent="0.2">
      <c r="D117" s="7"/>
    </row>
    <row r="118" spans="4:4" x14ac:dyDescent="0.2">
      <c r="D118" s="7"/>
    </row>
    <row r="119" spans="4:4" x14ac:dyDescent="0.2">
      <c r="D119" s="7"/>
    </row>
    <row r="120" spans="4:4" x14ac:dyDescent="0.2">
      <c r="D120" s="7"/>
    </row>
    <row r="121" spans="4:4" x14ac:dyDescent="0.2">
      <c r="D121" s="7"/>
    </row>
    <row r="122" spans="4:4" x14ac:dyDescent="0.2">
      <c r="D122" s="7"/>
    </row>
    <row r="123" spans="4:4" x14ac:dyDescent="0.2">
      <c r="D123" s="7"/>
    </row>
    <row r="124" spans="4:4" x14ac:dyDescent="0.2">
      <c r="D124" s="7"/>
    </row>
    <row r="125" spans="4:4" x14ac:dyDescent="0.2">
      <c r="D125" s="7"/>
    </row>
    <row r="126" spans="4:4" x14ac:dyDescent="0.2">
      <c r="D126" s="7"/>
    </row>
    <row r="127" spans="4:4" x14ac:dyDescent="0.2">
      <c r="D127" s="7"/>
    </row>
    <row r="128" spans="4:4" x14ac:dyDescent="0.2">
      <c r="D128" s="7"/>
    </row>
    <row r="129" spans="4:4" x14ac:dyDescent="0.2">
      <c r="D129" s="7"/>
    </row>
    <row r="130" spans="4:4" x14ac:dyDescent="0.2">
      <c r="D130" s="7"/>
    </row>
    <row r="131" spans="4:4" x14ac:dyDescent="0.2">
      <c r="D131" s="7"/>
    </row>
    <row r="132" spans="4:4" x14ac:dyDescent="0.2">
      <c r="D132" s="7"/>
    </row>
    <row r="133" spans="4:4" x14ac:dyDescent="0.2">
      <c r="D133" s="7"/>
    </row>
    <row r="134" spans="4:4" x14ac:dyDescent="0.2">
      <c r="D134" s="7"/>
    </row>
    <row r="135" spans="4:4" x14ac:dyDescent="0.2">
      <c r="D135" s="7"/>
    </row>
    <row r="136" spans="4:4" x14ac:dyDescent="0.2">
      <c r="D136" s="7"/>
    </row>
    <row r="137" spans="4:4" x14ac:dyDescent="0.2">
      <c r="D137" s="7"/>
    </row>
    <row r="138" spans="4:4" x14ac:dyDescent="0.2">
      <c r="D138" s="7"/>
    </row>
    <row r="139" spans="4:4" x14ac:dyDescent="0.2">
      <c r="D139" s="7"/>
    </row>
    <row r="140" spans="4:4" x14ac:dyDescent="0.2">
      <c r="D140" s="7"/>
    </row>
    <row r="141" spans="4:4" x14ac:dyDescent="0.2">
      <c r="D141" s="7"/>
    </row>
    <row r="142" spans="4:4" x14ac:dyDescent="0.2">
      <c r="D142" s="7"/>
    </row>
    <row r="143" spans="4:4" x14ac:dyDescent="0.2">
      <c r="D143" s="7"/>
    </row>
    <row r="144" spans="4:4" x14ac:dyDescent="0.2">
      <c r="D144" s="7"/>
    </row>
    <row r="145" spans="4:4" x14ac:dyDescent="0.2">
      <c r="D145" s="7"/>
    </row>
    <row r="146" spans="4:4" x14ac:dyDescent="0.2">
      <c r="D146" s="7"/>
    </row>
    <row r="147" spans="4:4" x14ac:dyDescent="0.2">
      <c r="D147" s="7"/>
    </row>
    <row r="148" spans="4:4" x14ac:dyDescent="0.2">
      <c r="D148" s="7"/>
    </row>
    <row r="149" spans="4:4" x14ac:dyDescent="0.2">
      <c r="D149" s="7"/>
    </row>
    <row r="150" spans="4:4" x14ac:dyDescent="0.2">
      <c r="D150" s="7"/>
    </row>
    <row r="151" spans="4:4" x14ac:dyDescent="0.2">
      <c r="D151" s="7"/>
    </row>
    <row r="152" spans="4:4" x14ac:dyDescent="0.2">
      <c r="D152" s="7"/>
    </row>
    <row r="153" spans="4:4" x14ac:dyDescent="0.2">
      <c r="D153" s="7"/>
    </row>
    <row r="154" spans="4:4" x14ac:dyDescent="0.2">
      <c r="D154" s="7"/>
    </row>
    <row r="155" spans="4:4" x14ac:dyDescent="0.2">
      <c r="D15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3E76-0308-444B-A37B-788182A3D2E8}">
  <dimension ref="A1:AO28"/>
  <sheetViews>
    <sheetView topLeftCell="H1" workbookViewId="0">
      <selection activeCell="D19" sqref="D19"/>
    </sheetView>
  </sheetViews>
  <sheetFormatPr baseColWidth="10" defaultRowHeight="16" x14ac:dyDescent="0.2"/>
  <cols>
    <col min="4" max="4" width="14.5" customWidth="1"/>
    <col min="17" max="17" width="44.83203125" customWidth="1"/>
  </cols>
  <sheetData>
    <row r="1" spans="1:41" s="3" customFormat="1" x14ac:dyDescent="0.2">
      <c r="A1" s="3" t="s">
        <v>0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280</v>
      </c>
      <c r="G1" s="3" t="s">
        <v>111</v>
      </c>
      <c r="H1" s="3" t="s">
        <v>112</v>
      </c>
      <c r="I1" s="3" t="s">
        <v>113</v>
      </c>
      <c r="J1" s="3" t="s">
        <v>281</v>
      </c>
      <c r="K1" s="3" t="s">
        <v>114</v>
      </c>
      <c r="L1" s="11" t="s">
        <v>115</v>
      </c>
      <c r="M1" s="3" t="s">
        <v>116</v>
      </c>
      <c r="N1" s="3" t="s">
        <v>117</v>
      </c>
      <c r="O1" s="3" t="s">
        <v>118</v>
      </c>
      <c r="P1" s="3" t="s">
        <v>119</v>
      </c>
      <c r="Q1" s="3" t="s">
        <v>120</v>
      </c>
      <c r="R1" s="3" t="s">
        <v>121</v>
      </c>
      <c r="S1" s="3" t="s">
        <v>122</v>
      </c>
    </row>
    <row r="2" spans="1:41" ht="17" x14ac:dyDescent="0.2">
      <c r="A2" s="8" t="s">
        <v>438</v>
      </c>
      <c r="B2" s="8" t="s">
        <v>63</v>
      </c>
      <c r="C2" s="8" t="b">
        <v>1</v>
      </c>
      <c r="D2" s="8" t="s">
        <v>282</v>
      </c>
      <c r="E2" s="8" t="s">
        <v>282</v>
      </c>
      <c r="F2" s="8" t="s">
        <v>439</v>
      </c>
      <c r="G2" s="8" t="s">
        <v>123</v>
      </c>
      <c r="H2" s="9" t="s">
        <v>283</v>
      </c>
      <c r="I2" s="9" t="b">
        <v>1</v>
      </c>
      <c r="J2" s="9" t="b">
        <v>0</v>
      </c>
      <c r="K2" s="8">
        <v>23435</v>
      </c>
      <c r="L2" s="8">
        <v>74</v>
      </c>
      <c r="M2" s="8">
        <v>308</v>
      </c>
      <c r="N2" s="8">
        <v>29</v>
      </c>
      <c r="O2" s="8">
        <v>13</v>
      </c>
      <c r="P2" s="8">
        <v>565</v>
      </c>
      <c r="Q2" s="8">
        <v>108</v>
      </c>
      <c r="R2" s="1">
        <v>9438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2"/>
    </row>
    <row r="3" spans="1:41" ht="17" x14ac:dyDescent="0.2">
      <c r="A3" s="8" t="s">
        <v>438</v>
      </c>
      <c r="B3" s="8" t="s">
        <v>260</v>
      </c>
      <c r="C3" s="8" t="b">
        <v>1</v>
      </c>
      <c r="D3" s="8" t="s">
        <v>284</v>
      </c>
      <c r="E3" s="8" t="s">
        <v>284</v>
      </c>
      <c r="F3" s="8" t="s">
        <v>440</v>
      </c>
      <c r="G3" s="8" t="s">
        <v>123</v>
      </c>
      <c r="H3" s="9" t="s">
        <v>285</v>
      </c>
      <c r="I3" s="9" t="b">
        <v>1</v>
      </c>
      <c r="J3" s="9" t="b">
        <v>0</v>
      </c>
      <c r="K3" s="8">
        <v>24193</v>
      </c>
      <c r="L3" s="8">
        <v>57</v>
      </c>
      <c r="M3" s="8">
        <v>329</v>
      </c>
      <c r="N3" s="8">
        <v>23</v>
      </c>
      <c r="O3" s="8">
        <v>9</v>
      </c>
      <c r="P3" s="8">
        <v>515</v>
      </c>
      <c r="Q3" s="8">
        <v>91</v>
      </c>
      <c r="R3" s="1">
        <v>11531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"/>
    </row>
    <row r="4" spans="1:41" ht="17" x14ac:dyDescent="0.2">
      <c r="A4" s="8" t="s">
        <v>438</v>
      </c>
      <c r="B4" s="8" t="s">
        <v>262</v>
      </c>
      <c r="C4" s="8" t="b">
        <v>1</v>
      </c>
      <c r="D4" s="10" t="s">
        <v>286</v>
      </c>
      <c r="E4" s="10" t="s">
        <v>286</v>
      </c>
      <c r="F4" s="8" t="s">
        <v>441</v>
      </c>
      <c r="G4" s="8" t="s">
        <v>123</v>
      </c>
      <c r="H4" s="9" t="s">
        <v>287</v>
      </c>
      <c r="I4" s="8" t="b">
        <v>1</v>
      </c>
      <c r="J4" s="9" t="b">
        <v>0</v>
      </c>
      <c r="K4" s="8">
        <v>21901</v>
      </c>
      <c r="L4" s="8">
        <v>61</v>
      </c>
      <c r="M4" s="8">
        <v>349</v>
      </c>
      <c r="N4" s="8">
        <v>17</v>
      </c>
      <c r="O4" s="8">
        <v>11</v>
      </c>
      <c r="P4" s="8">
        <v>981</v>
      </c>
      <c r="Q4" s="8">
        <v>85</v>
      </c>
      <c r="R4" s="1">
        <v>9463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/>
    </row>
    <row r="5" spans="1:41" ht="17" x14ac:dyDescent="0.2">
      <c r="A5" s="8" t="s">
        <v>406</v>
      </c>
      <c r="B5" s="8" t="s">
        <v>63</v>
      </c>
      <c r="C5" s="8" t="b">
        <v>1</v>
      </c>
      <c r="D5" s="8" t="s">
        <v>288</v>
      </c>
      <c r="E5" s="8" t="s">
        <v>288</v>
      </c>
      <c r="F5" s="8" t="s">
        <v>407</v>
      </c>
      <c r="G5" s="8" t="s">
        <v>123</v>
      </c>
      <c r="H5" s="9" t="s">
        <v>289</v>
      </c>
      <c r="I5" s="9" t="b">
        <v>1</v>
      </c>
      <c r="J5" s="9" t="b">
        <v>0</v>
      </c>
      <c r="K5" s="8">
        <v>22036</v>
      </c>
      <c r="L5" s="8">
        <v>66</v>
      </c>
      <c r="M5" s="8">
        <v>199</v>
      </c>
      <c r="N5" s="8">
        <v>18</v>
      </c>
      <c r="O5" s="8">
        <v>3</v>
      </c>
      <c r="P5" s="8">
        <v>893</v>
      </c>
      <c r="Q5" s="8">
        <v>101</v>
      </c>
      <c r="R5" s="1">
        <v>9948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2"/>
    </row>
    <row r="6" spans="1:41" ht="17" x14ac:dyDescent="0.2">
      <c r="A6" s="8" t="s">
        <v>406</v>
      </c>
      <c r="B6" s="8" t="s">
        <v>260</v>
      </c>
      <c r="C6" s="8" t="b">
        <v>1</v>
      </c>
      <c r="D6" s="8" t="s">
        <v>290</v>
      </c>
      <c r="E6" s="8" t="s">
        <v>290</v>
      </c>
      <c r="F6" s="8" t="s">
        <v>408</v>
      </c>
      <c r="G6" s="8" t="s">
        <v>123</v>
      </c>
      <c r="H6" s="9" t="s">
        <v>291</v>
      </c>
      <c r="I6" s="9" t="b">
        <v>1</v>
      </c>
      <c r="J6" s="9" t="b">
        <v>0</v>
      </c>
      <c r="K6" s="8">
        <v>21242</v>
      </c>
      <c r="L6" s="8">
        <v>72</v>
      </c>
      <c r="M6" s="8">
        <v>269</v>
      </c>
      <c r="N6" s="8">
        <v>15</v>
      </c>
      <c r="O6" s="8"/>
      <c r="P6" s="8">
        <v>458</v>
      </c>
      <c r="Q6" s="8">
        <v>98</v>
      </c>
      <c r="R6" s="1">
        <v>8929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2"/>
    </row>
    <row r="7" spans="1:41" ht="17" x14ac:dyDescent="0.2">
      <c r="A7" s="8" t="s">
        <v>406</v>
      </c>
      <c r="B7" s="8" t="s">
        <v>261</v>
      </c>
      <c r="C7" s="8" t="b">
        <v>1</v>
      </c>
      <c r="D7" s="8" t="s">
        <v>292</v>
      </c>
      <c r="E7" s="8" t="s">
        <v>292</v>
      </c>
      <c r="F7" s="8" t="s">
        <v>409</v>
      </c>
      <c r="G7" s="8" t="s">
        <v>123</v>
      </c>
      <c r="H7" s="9" t="s">
        <v>293</v>
      </c>
      <c r="I7" s="9" t="b">
        <v>1</v>
      </c>
      <c r="J7" s="9" t="b">
        <v>0</v>
      </c>
      <c r="K7" s="8">
        <v>23257</v>
      </c>
      <c r="L7" s="8">
        <v>62</v>
      </c>
      <c r="M7" s="8">
        <v>294</v>
      </c>
      <c r="N7" s="8">
        <v>14</v>
      </c>
      <c r="O7" s="8">
        <v>4</v>
      </c>
      <c r="P7" s="8">
        <v>578</v>
      </c>
      <c r="Q7" s="8">
        <v>100</v>
      </c>
      <c r="R7" s="1">
        <v>10994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2"/>
    </row>
    <row r="8" spans="1:41" ht="17" x14ac:dyDescent="0.2">
      <c r="A8" s="8" t="s">
        <v>422</v>
      </c>
      <c r="B8" s="8" t="s">
        <v>63</v>
      </c>
      <c r="C8" s="8" t="b">
        <v>1</v>
      </c>
      <c r="D8" s="8" t="s">
        <v>294</v>
      </c>
      <c r="E8" s="8" t="s">
        <v>294</v>
      </c>
      <c r="F8" s="8" t="s">
        <v>423</v>
      </c>
      <c r="G8" s="8" t="s">
        <v>123</v>
      </c>
      <c r="H8" s="9" t="s">
        <v>295</v>
      </c>
      <c r="I8" s="9" t="b">
        <v>1</v>
      </c>
      <c r="J8" s="9" t="b">
        <v>0</v>
      </c>
      <c r="K8" s="8">
        <v>21987</v>
      </c>
      <c r="L8" s="8">
        <v>57</v>
      </c>
      <c r="M8" s="8">
        <v>185</v>
      </c>
      <c r="N8" s="8">
        <v>13</v>
      </c>
      <c r="O8" s="8">
        <v>11</v>
      </c>
      <c r="P8" s="8">
        <v>491</v>
      </c>
      <c r="Q8" s="8">
        <v>88</v>
      </c>
      <c r="R8" s="1">
        <v>9920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2"/>
    </row>
    <row r="9" spans="1:41" ht="17" x14ac:dyDescent="0.2">
      <c r="A9" s="8" t="s">
        <v>422</v>
      </c>
      <c r="B9" s="8" t="s">
        <v>74</v>
      </c>
      <c r="C9" s="8" t="b">
        <v>1</v>
      </c>
      <c r="D9" s="8" t="s">
        <v>296</v>
      </c>
      <c r="E9" s="8" t="s">
        <v>296</v>
      </c>
      <c r="F9" s="8" t="s">
        <v>424</v>
      </c>
      <c r="G9" s="8" t="s">
        <v>123</v>
      </c>
      <c r="H9" s="9" t="s">
        <v>297</v>
      </c>
      <c r="I9" s="9" t="b">
        <v>1</v>
      </c>
      <c r="J9" s="9" t="b">
        <v>0</v>
      </c>
      <c r="K9" s="8">
        <v>22099</v>
      </c>
      <c r="L9" s="8">
        <v>157</v>
      </c>
      <c r="M9" s="8">
        <v>185</v>
      </c>
      <c r="N9" s="8">
        <v>15</v>
      </c>
      <c r="O9" s="8">
        <v>11</v>
      </c>
      <c r="P9" s="8">
        <v>563</v>
      </c>
      <c r="Q9" s="8">
        <v>84</v>
      </c>
      <c r="R9" s="1">
        <v>10421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2"/>
    </row>
    <row r="10" spans="1:41" ht="17" x14ac:dyDescent="0.2">
      <c r="A10" s="8" t="s">
        <v>422</v>
      </c>
      <c r="B10" s="8" t="s">
        <v>75</v>
      </c>
      <c r="C10" s="8" t="b">
        <v>1</v>
      </c>
      <c r="D10" s="8" t="s">
        <v>298</v>
      </c>
      <c r="E10" s="8" t="s">
        <v>298</v>
      </c>
      <c r="F10" s="8" t="s">
        <v>425</v>
      </c>
      <c r="G10" s="8" t="s">
        <v>123</v>
      </c>
      <c r="H10" s="9" t="s">
        <v>299</v>
      </c>
      <c r="I10" s="9" t="b">
        <v>1</v>
      </c>
      <c r="J10" s="9" t="b">
        <v>0</v>
      </c>
      <c r="K10" s="8">
        <v>22286</v>
      </c>
      <c r="L10" s="8">
        <v>63</v>
      </c>
      <c r="M10" s="8">
        <v>259</v>
      </c>
      <c r="N10" s="8">
        <v>18</v>
      </c>
      <c r="O10" s="8">
        <v>8</v>
      </c>
      <c r="P10" s="8">
        <v>534</v>
      </c>
      <c r="Q10" s="8">
        <v>84</v>
      </c>
      <c r="R10" s="1">
        <v>10054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2"/>
    </row>
    <row r="11" spans="1:41" ht="17" x14ac:dyDescent="0.2">
      <c r="A11" s="8" t="s">
        <v>410</v>
      </c>
      <c r="B11" s="8" t="s">
        <v>63</v>
      </c>
      <c r="C11" s="8" t="b">
        <v>1</v>
      </c>
      <c r="D11" s="8" t="s">
        <v>300</v>
      </c>
      <c r="E11" s="8" t="s">
        <v>300</v>
      </c>
      <c r="F11" s="8" t="s">
        <v>411</v>
      </c>
      <c r="G11" s="8" t="s">
        <v>123</v>
      </c>
      <c r="H11" s="9" t="s">
        <v>301</v>
      </c>
      <c r="I11" s="9" t="b">
        <v>1</v>
      </c>
      <c r="J11" s="9" t="b">
        <v>0</v>
      </c>
      <c r="K11" s="8">
        <v>21493</v>
      </c>
      <c r="L11" s="8">
        <v>71</v>
      </c>
      <c r="M11" s="8">
        <v>320</v>
      </c>
      <c r="N11" s="8">
        <v>6</v>
      </c>
      <c r="O11" s="8">
        <v>2</v>
      </c>
      <c r="P11" s="8">
        <v>414</v>
      </c>
      <c r="Q11" s="8">
        <v>106</v>
      </c>
      <c r="R11" s="1">
        <v>9952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2"/>
    </row>
    <row r="12" spans="1:41" ht="17" x14ac:dyDescent="0.2">
      <c r="A12" s="8" t="s">
        <v>410</v>
      </c>
      <c r="B12" s="8" t="s">
        <v>260</v>
      </c>
      <c r="C12" s="8" t="b">
        <v>1</v>
      </c>
      <c r="D12" s="8" t="s">
        <v>302</v>
      </c>
      <c r="E12" s="8" t="s">
        <v>302</v>
      </c>
      <c r="F12" s="8" t="s">
        <v>412</v>
      </c>
      <c r="G12" s="8" t="s">
        <v>123</v>
      </c>
      <c r="H12" s="9" t="s">
        <v>303</v>
      </c>
      <c r="I12" s="9" t="b">
        <v>1</v>
      </c>
      <c r="J12" s="9" t="b">
        <v>0</v>
      </c>
      <c r="K12" s="8">
        <v>21486</v>
      </c>
      <c r="L12" s="8">
        <v>52</v>
      </c>
      <c r="M12" s="8">
        <v>311</v>
      </c>
      <c r="N12" s="8">
        <v>9</v>
      </c>
      <c r="O12" s="8">
        <v>3</v>
      </c>
      <c r="P12" s="8">
        <v>429</v>
      </c>
      <c r="Q12" s="8">
        <v>89</v>
      </c>
      <c r="R12" s="1">
        <v>9507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2"/>
    </row>
    <row r="13" spans="1:41" ht="17" x14ac:dyDescent="0.2">
      <c r="A13" s="8" t="s">
        <v>410</v>
      </c>
      <c r="B13" s="8" t="s">
        <v>262</v>
      </c>
      <c r="C13" s="8" t="b">
        <v>1</v>
      </c>
      <c r="D13" s="8" t="s">
        <v>304</v>
      </c>
      <c r="E13" s="8" t="s">
        <v>304</v>
      </c>
      <c r="F13" s="8" t="s">
        <v>413</v>
      </c>
      <c r="G13" s="8" t="s">
        <v>123</v>
      </c>
      <c r="H13" s="9" t="s">
        <v>305</v>
      </c>
      <c r="I13" s="9" t="b">
        <v>1</v>
      </c>
      <c r="J13" s="9" t="b">
        <v>0</v>
      </c>
      <c r="K13" s="8">
        <v>22737</v>
      </c>
      <c r="L13" s="8">
        <v>69</v>
      </c>
      <c r="M13" s="8">
        <v>227</v>
      </c>
      <c r="N13" s="8">
        <v>13</v>
      </c>
      <c r="O13" s="8">
        <v>3</v>
      </c>
      <c r="P13" s="8">
        <v>540</v>
      </c>
      <c r="Q13" s="8">
        <v>94</v>
      </c>
      <c r="R13" s="1">
        <v>10435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2"/>
    </row>
    <row r="14" spans="1:41" ht="17" x14ac:dyDescent="0.2">
      <c r="A14" s="8" t="s">
        <v>414</v>
      </c>
      <c r="B14" s="8" t="s">
        <v>63</v>
      </c>
      <c r="C14" s="8" t="b">
        <v>0</v>
      </c>
      <c r="D14" s="8" t="s">
        <v>306</v>
      </c>
      <c r="E14" s="8" t="s">
        <v>306</v>
      </c>
      <c r="F14" s="8" t="s">
        <v>415</v>
      </c>
      <c r="G14" s="8"/>
      <c r="H14" s="9"/>
      <c r="I14" s="8" t="b">
        <v>0</v>
      </c>
      <c r="J14" s="9" t="b">
        <v>1</v>
      </c>
      <c r="K14" s="8">
        <v>7685</v>
      </c>
      <c r="L14" s="8"/>
      <c r="M14" s="8"/>
      <c r="N14" s="8"/>
      <c r="O14" s="8"/>
      <c r="P14" s="8"/>
      <c r="Q14" s="8"/>
      <c r="R14" s="1"/>
      <c r="S14" s="1" t="s">
        <v>307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2"/>
    </row>
    <row r="15" spans="1:41" ht="17" x14ac:dyDescent="0.2">
      <c r="A15" s="8" t="s">
        <v>414</v>
      </c>
      <c r="B15" s="8" t="s">
        <v>260</v>
      </c>
      <c r="C15" s="8" t="b">
        <v>1</v>
      </c>
      <c r="D15" s="8" t="s">
        <v>308</v>
      </c>
      <c r="E15" s="8" t="s">
        <v>308</v>
      </c>
      <c r="F15" s="8" t="s">
        <v>416</v>
      </c>
      <c r="G15" s="8" t="s">
        <v>123</v>
      </c>
      <c r="H15" s="9" t="s">
        <v>309</v>
      </c>
      <c r="I15" s="8" t="b">
        <v>1</v>
      </c>
      <c r="J15" s="9" t="b">
        <v>0</v>
      </c>
      <c r="K15" s="8">
        <v>21722</v>
      </c>
      <c r="L15" s="8">
        <v>74</v>
      </c>
      <c r="M15" s="8">
        <v>180</v>
      </c>
      <c r="N15" s="8">
        <v>4</v>
      </c>
      <c r="O15" s="8">
        <v>3</v>
      </c>
      <c r="P15" s="8">
        <v>459</v>
      </c>
      <c r="Q15" s="8">
        <v>101</v>
      </c>
      <c r="R15" s="1">
        <v>9982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2"/>
    </row>
    <row r="16" spans="1:41" ht="17" x14ac:dyDescent="0.2">
      <c r="A16" s="8" t="s">
        <v>414</v>
      </c>
      <c r="B16" s="8" t="s">
        <v>261</v>
      </c>
      <c r="C16" s="8" t="b">
        <v>1</v>
      </c>
      <c r="D16" s="8" t="s">
        <v>310</v>
      </c>
      <c r="E16" s="8" t="s">
        <v>310</v>
      </c>
      <c r="F16" s="8" t="s">
        <v>417</v>
      </c>
      <c r="G16" s="8" t="s">
        <v>123</v>
      </c>
      <c r="H16" s="9" t="s">
        <v>311</v>
      </c>
      <c r="I16" s="9" t="b">
        <v>1</v>
      </c>
      <c r="J16" s="9" t="b">
        <v>0</v>
      </c>
      <c r="K16" s="8">
        <v>23589</v>
      </c>
      <c r="L16" s="8">
        <v>53</v>
      </c>
      <c r="M16" s="8">
        <v>283</v>
      </c>
      <c r="N16" s="8">
        <v>20</v>
      </c>
      <c r="O16" s="8">
        <v>2</v>
      </c>
      <c r="P16" s="8">
        <v>434</v>
      </c>
      <c r="Q16" s="8">
        <v>99</v>
      </c>
      <c r="R16" s="1">
        <v>11011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2"/>
    </row>
    <row r="17" spans="1:41" ht="17" x14ac:dyDescent="0.2">
      <c r="A17" s="8" t="s">
        <v>430</v>
      </c>
      <c r="B17" s="8" t="s">
        <v>63</v>
      </c>
      <c r="C17" s="8" t="b">
        <v>1</v>
      </c>
      <c r="D17" s="8" t="s">
        <v>312</v>
      </c>
      <c r="E17" s="8" t="s">
        <v>312</v>
      </c>
      <c r="F17" s="8" t="s">
        <v>431</v>
      </c>
      <c r="G17" s="8" t="s">
        <v>123</v>
      </c>
      <c r="H17" s="9" t="s">
        <v>313</v>
      </c>
      <c r="I17" s="8" t="b">
        <v>1</v>
      </c>
      <c r="J17" s="9" t="b">
        <v>0</v>
      </c>
      <c r="K17" s="8">
        <v>21488</v>
      </c>
      <c r="L17" s="8">
        <v>56</v>
      </c>
      <c r="M17" s="8">
        <v>283</v>
      </c>
      <c r="N17" s="8">
        <v>20</v>
      </c>
      <c r="O17" s="8">
        <v>3</v>
      </c>
      <c r="P17" s="8">
        <v>420</v>
      </c>
      <c r="Q17" s="8">
        <v>100</v>
      </c>
      <c r="R17" s="1">
        <v>9426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2"/>
    </row>
    <row r="18" spans="1:41" ht="17" x14ac:dyDescent="0.2">
      <c r="A18" s="8" t="s">
        <v>430</v>
      </c>
      <c r="B18" s="8" t="s">
        <v>262</v>
      </c>
      <c r="C18" s="8" t="b">
        <v>1</v>
      </c>
      <c r="D18" s="10" t="s">
        <v>314</v>
      </c>
      <c r="E18" s="10" t="s">
        <v>314</v>
      </c>
      <c r="F18" s="8" t="s">
        <v>432</v>
      </c>
      <c r="G18" s="8" t="s">
        <v>123</v>
      </c>
      <c r="H18" s="9" t="s">
        <v>315</v>
      </c>
      <c r="I18" s="8" t="b">
        <v>1</v>
      </c>
      <c r="J18" s="9" t="b">
        <v>0</v>
      </c>
      <c r="K18" s="8">
        <v>20433</v>
      </c>
      <c r="L18" s="8">
        <v>61</v>
      </c>
      <c r="M18" s="8">
        <v>282</v>
      </c>
      <c r="N18" s="8">
        <v>14</v>
      </c>
      <c r="O18" s="8">
        <v>3</v>
      </c>
      <c r="P18" s="8">
        <v>480</v>
      </c>
      <c r="Q18" s="8">
        <v>93</v>
      </c>
      <c r="R18" s="1">
        <v>8923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2"/>
    </row>
    <row r="19" spans="1:41" ht="17" x14ac:dyDescent="0.2">
      <c r="A19" s="8" t="s">
        <v>430</v>
      </c>
      <c r="B19" s="8" t="s">
        <v>263</v>
      </c>
      <c r="C19" s="8" t="b">
        <v>1</v>
      </c>
      <c r="D19" s="10" t="s">
        <v>316</v>
      </c>
      <c r="E19" s="10" t="s">
        <v>316</v>
      </c>
      <c r="F19" s="8" t="s">
        <v>433</v>
      </c>
      <c r="G19" s="8" t="s">
        <v>123</v>
      </c>
      <c r="H19" s="9" t="s">
        <v>317</v>
      </c>
      <c r="I19" s="9" t="b">
        <v>1</v>
      </c>
      <c r="J19" s="9" t="b">
        <v>0</v>
      </c>
      <c r="K19" s="8">
        <v>22150</v>
      </c>
      <c r="L19" s="8">
        <v>50</v>
      </c>
      <c r="M19" s="8">
        <v>293</v>
      </c>
      <c r="N19" s="8">
        <v>18</v>
      </c>
      <c r="O19" s="8">
        <v>4</v>
      </c>
      <c r="P19" s="8">
        <v>450</v>
      </c>
      <c r="Q19" s="8">
        <v>91</v>
      </c>
      <c r="R19" s="1">
        <v>9924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2"/>
    </row>
    <row r="20" spans="1:41" ht="17" x14ac:dyDescent="0.2">
      <c r="A20" s="8" t="s">
        <v>426</v>
      </c>
      <c r="B20" s="8" t="s">
        <v>63</v>
      </c>
      <c r="C20" s="8" t="b">
        <v>1</v>
      </c>
      <c r="D20" s="8" t="s">
        <v>318</v>
      </c>
      <c r="E20" s="8" t="s">
        <v>318</v>
      </c>
      <c r="F20" s="8" t="s">
        <v>427</v>
      </c>
      <c r="G20" s="8" t="s">
        <v>123</v>
      </c>
      <c r="H20" s="9" t="s">
        <v>319</v>
      </c>
      <c r="I20" s="9" t="b">
        <v>1</v>
      </c>
      <c r="J20" s="9" t="b">
        <v>0</v>
      </c>
      <c r="K20" s="8">
        <v>23956</v>
      </c>
      <c r="L20" s="8">
        <v>52</v>
      </c>
      <c r="M20" s="8">
        <v>227</v>
      </c>
      <c r="N20" s="8">
        <v>22</v>
      </c>
      <c r="O20" s="8">
        <v>2</v>
      </c>
      <c r="P20" s="8">
        <v>516</v>
      </c>
      <c r="Q20" s="8">
        <v>91</v>
      </c>
      <c r="R20" s="1">
        <v>10575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2"/>
    </row>
    <row r="21" spans="1:41" ht="17" x14ac:dyDescent="0.2">
      <c r="A21" s="8" t="s">
        <v>426</v>
      </c>
      <c r="B21" s="8" t="s">
        <v>260</v>
      </c>
      <c r="C21" s="8" t="b">
        <v>1</v>
      </c>
      <c r="D21" s="8" t="s">
        <v>320</v>
      </c>
      <c r="E21" s="8" t="s">
        <v>320</v>
      </c>
      <c r="F21" s="8" t="s">
        <v>428</v>
      </c>
      <c r="G21" s="8" t="s">
        <v>123</v>
      </c>
      <c r="H21" s="9" t="s">
        <v>321</v>
      </c>
      <c r="I21" s="9" t="b">
        <v>1</v>
      </c>
      <c r="J21" s="9" t="b">
        <v>0</v>
      </c>
      <c r="K21" s="8">
        <v>23803</v>
      </c>
      <c r="L21" s="8">
        <v>55</v>
      </c>
      <c r="M21" s="8">
        <v>190</v>
      </c>
      <c r="N21" s="8">
        <v>16</v>
      </c>
      <c r="O21" s="8">
        <v>3</v>
      </c>
      <c r="P21" s="8">
        <v>553</v>
      </c>
      <c r="Q21" s="8">
        <v>90</v>
      </c>
      <c r="R21" s="1">
        <v>11492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2"/>
    </row>
    <row r="22" spans="1:41" ht="17" x14ac:dyDescent="0.2">
      <c r="A22" s="8" t="s">
        <v>426</v>
      </c>
      <c r="B22" s="8" t="s">
        <v>261</v>
      </c>
      <c r="C22" s="8" t="b">
        <v>1</v>
      </c>
      <c r="D22" s="8" t="s">
        <v>322</v>
      </c>
      <c r="E22" s="8" t="s">
        <v>322</v>
      </c>
      <c r="F22" s="8" t="s">
        <v>429</v>
      </c>
      <c r="G22" s="8" t="s">
        <v>123</v>
      </c>
      <c r="H22" s="9" t="s">
        <v>323</v>
      </c>
      <c r="I22" s="8" t="b">
        <v>1</v>
      </c>
      <c r="J22" s="9" t="b">
        <v>0</v>
      </c>
      <c r="K22" s="8">
        <v>21986</v>
      </c>
      <c r="L22" s="8">
        <v>122</v>
      </c>
      <c r="M22" s="8">
        <v>191</v>
      </c>
      <c r="N22" s="8">
        <v>17</v>
      </c>
      <c r="O22" s="8">
        <v>4</v>
      </c>
      <c r="P22" s="8">
        <v>542</v>
      </c>
      <c r="Q22" s="8">
        <v>110</v>
      </c>
      <c r="R22" s="1">
        <v>9928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2"/>
    </row>
    <row r="23" spans="1:41" ht="17" x14ac:dyDescent="0.2">
      <c r="A23" s="8" t="s">
        <v>418</v>
      </c>
      <c r="B23" s="8" t="s">
        <v>63</v>
      </c>
      <c r="C23" s="8" t="b">
        <v>1</v>
      </c>
      <c r="D23" s="8" t="s">
        <v>324</v>
      </c>
      <c r="E23" s="8" t="s">
        <v>324</v>
      </c>
      <c r="F23" s="8" t="s">
        <v>419</v>
      </c>
      <c r="G23" s="8" t="s">
        <v>123</v>
      </c>
      <c r="H23" s="9" t="s">
        <v>325</v>
      </c>
      <c r="I23" s="9" t="b">
        <v>1</v>
      </c>
      <c r="J23" s="9" t="b">
        <v>0</v>
      </c>
      <c r="K23" s="8">
        <v>22859</v>
      </c>
      <c r="L23" s="8">
        <v>78</v>
      </c>
      <c r="M23" s="8">
        <v>204</v>
      </c>
      <c r="N23" s="8">
        <v>22</v>
      </c>
      <c r="O23" s="8">
        <v>3</v>
      </c>
      <c r="P23" s="8">
        <v>531</v>
      </c>
      <c r="Q23" s="8">
        <v>76</v>
      </c>
      <c r="R23" s="1">
        <v>10044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2"/>
    </row>
    <row r="24" spans="1:41" ht="17" x14ac:dyDescent="0.2">
      <c r="A24" s="8" t="s">
        <v>418</v>
      </c>
      <c r="B24" s="8" t="s">
        <v>260</v>
      </c>
      <c r="C24" s="8" t="b">
        <v>1</v>
      </c>
      <c r="D24" s="8" t="s">
        <v>326</v>
      </c>
      <c r="E24" s="8" t="s">
        <v>326</v>
      </c>
      <c r="F24" s="8" t="s">
        <v>420</v>
      </c>
      <c r="G24" s="8" t="s">
        <v>123</v>
      </c>
      <c r="H24" s="9" t="s">
        <v>327</v>
      </c>
      <c r="I24" s="9" t="b">
        <v>1</v>
      </c>
      <c r="J24" s="9" t="b">
        <v>0</v>
      </c>
      <c r="K24" s="8">
        <v>23564</v>
      </c>
      <c r="L24" s="8">
        <v>58</v>
      </c>
      <c r="M24" s="8">
        <v>228</v>
      </c>
      <c r="N24" s="8">
        <v>13</v>
      </c>
      <c r="O24" s="8">
        <v>3</v>
      </c>
      <c r="P24" s="8">
        <v>509</v>
      </c>
      <c r="Q24" s="8">
        <v>90</v>
      </c>
      <c r="R24" s="1">
        <v>12098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41" x14ac:dyDescent="0.2">
      <c r="A25" s="8" t="s">
        <v>418</v>
      </c>
      <c r="B25" s="8" t="s">
        <v>261</v>
      </c>
      <c r="C25" s="8" t="b">
        <v>1</v>
      </c>
      <c r="D25" s="8" t="s">
        <v>328</v>
      </c>
      <c r="E25" s="8" t="s">
        <v>328</v>
      </c>
      <c r="F25" s="8" t="s">
        <v>421</v>
      </c>
      <c r="G25" s="8" t="s">
        <v>123</v>
      </c>
      <c r="H25" s="8" t="s">
        <v>329</v>
      </c>
      <c r="I25" s="8" t="b">
        <v>1</v>
      </c>
      <c r="J25" s="8" t="b">
        <v>0</v>
      </c>
      <c r="K25" s="8">
        <v>23045</v>
      </c>
      <c r="L25" s="8">
        <v>57</v>
      </c>
      <c r="M25" s="8">
        <v>311</v>
      </c>
      <c r="N25" s="8">
        <v>8</v>
      </c>
      <c r="O25" s="8">
        <v>2</v>
      </c>
      <c r="P25" s="8">
        <v>424</v>
      </c>
      <c r="Q25" s="8">
        <v>81</v>
      </c>
      <c r="R25">
        <v>10490</v>
      </c>
    </row>
    <row r="26" spans="1:41" ht="17" x14ac:dyDescent="0.2">
      <c r="A26" s="8" t="s">
        <v>434</v>
      </c>
      <c r="B26" s="8" t="s">
        <v>63</v>
      </c>
      <c r="C26" s="8" t="b">
        <v>1</v>
      </c>
      <c r="D26" s="8" t="s">
        <v>330</v>
      </c>
      <c r="E26" s="8" t="s">
        <v>330</v>
      </c>
      <c r="F26" s="8" t="s">
        <v>435</v>
      </c>
      <c r="G26" s="8" t="s">
        <v>123</v>
      </c>
      <c r="H26" s="9" t="s">
        <v>331</v>
      </c>
      <c r="I26" s="8" t="b">
        <v>1</v>
      </c>
      <c r="J26" s="9" t="b">
        <v>0</v>
      </c>
      <c r="K26" s="8">
        <v>23885</v>
      </c>
      <c r="L26" s="8">
        <v>55</v>
      </c>
      <c r="M26" s="8">
        <v>181</v>
      </c>
      <c r="N26" s="8">
        <v>14</v>
      </c>
      <c r="O26" s="8">
        <v>3</v>
      </c>
      <c r="P26" s="8">
        <v>441</v>
      </c>
      <c r="Q26" s="8">
        <v>88</v>
      </c>
      <c r="R26" s="1">
        <v>10437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2"/>
    </row>
    <row r="27" spans="1:41" ht="17" x14ac:dyDescent="0.2">
      <c r="A27" s="8" t="s">
        <v>434</v>
      </c>
      <c r="B27" s="8" t="s">
        <v>260</v>
      </c>
      <c r="C27" s="8" t="b">
        <v>1</v>
      </c>
      <c r="D27" s="8" t="s">
        <v>332</v>
      </c>
      <c r="E27" s="8" t="s">
        <v>332</v>
      </c>
      <c r="F27" s="8" t="s">
        <v>436</v>
      </c>
      <c r="G27" s="8" t="s">
        <v>123</v>
      </c>
      <c r="H27" s="9" t="s">
        <v>333</v>
      </c>
      <c r="I27" s="8" t="b">
        <v>1</v>
      </c>
      <c r="J27" s="9" t="b">
        <v>0</v>
      </c>
      <c r="K27" s="8">
        <v>24325</v>
      </c>
      <c r="L27" s="8">
        <v>57</v>
      </c>
      <c r="M27" s="8">
        <v>173</v>
      </c>
      <c r="N27" s="8">
        <v>12</v>
      </c>
      <c r="O27" s="8">
        <v>3</v>
      </c>
      <c r="P27" s="8">
        <v>527</v>
      </c>
      <c r="Q27" s="8">
        <v>95</v>
      </c>
      <c r="R27" s="1">
        <v>11631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2"/>
    </row>
    <row r="28" spans="1:41" ht="17" x14ac:dyDescent="0.2">
      <c r="A28" s="8" t="s">
        <v>434</v>
      </c>
      <c r="B28" s="8" t="s">
        <v>261</v>
      </c>
      <c r="C28" s="8" t="b">
        <v>1</v>
      </c>
      <c r="D28" s="8" t="s">
        <v>334</v>
      </c>
      <c r="E28" s="8" t="s">
        <v>334</v>
      </c>
      <c r="F28" s="8" t="s">
        <v>437</v>
      </c>
      <c r="G28" s="8" t="s">
        <v>123</v>
      </c>
      <c r="H28" s="9" t="s">
        <v>335</v>
      </c>
      <c r="I28" s="9" t="b">
        <v>1</v>
      </c>
      <c r="J28" s="9" t="b">
        <v>0</v>
      </c>
      <c r="K28" s="8">
        <v>24393</v>
      </c>
      <c r="L28" s="8">
        <v>63</v>
      </c>
      <c r="M28" s="8">
        <v>177</v>
      </c>
      <c r="N28" s="8">
        <v>13</v>
      </c>
      <c r="O28" s="8">
        <v>4</v>
      </c>
      <c r="P28" s="8">
        <v>552</v>
      </c>
      <c r="Q28" s="8">
        <v>101</v>
      </c>
      <c r="R28" s="1">
        <v>11982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878A-1620-3943-A3FF-9D3B6EA82A0C}">
  <dimension ref="A1:I81"/>
  <sheetViews>
    <sheetView tabSelected="1" zoomScale="122" workbookViewId="0">
      <selection activeCell="J17" sqref="J17"/>
    </sheetView>
  </sheetViews>
  <sheetFormatPr baseColWidth="10" defaultRowHeight="16" x14ac:dyDescent="0.2"/>
  <cols>
    <col min="1" max="1" width="11" bestFit="1" customWidth="1"/>
    <col min="2" max="2" width="6.6640625" bestFit="1" customWidth="1"/>
    <col min="3" max="3" width="10.33203125" bestFit="1" customWidth="1"/>
    <col min="4" max="4" width="31" bestFit="1" customWidth="1"/>
    <col min="5" max="5" width="11.83203125" bestFit="1" customWidth="1"/>
    <col min="6" max="6" width="33.5" bestFit="1" customWidth="1"/>
    <col min="7" max="7" width="58" bestFit="1" customWidth="1"/>
    <col min="9" max="9" width="12.33203125" bestFit="1" customWidth="1"/>
    <col min="12" max="12" width="9.5" bestFit="1" customWidth="1"/>
  </cols>
  <sheetData>
    <row r="1" spans="1:9" x14ac:dyDescent="0.2">
      <c r="A1" s="3" t="s">
        <v>0</v>
      </c>
      <c r="B1" s="3" t="s">
        <v>6</v>
      </c>
      <c r="C1" s="3" t="s">
        <v>145</v>
      </c>
      <c r="D1" s="3" t="s">
        <v>41</v>
      </c>
      <c r="E1" s="3" t="s">
        <v>42</v>
      </c>
      <c r="F1" s="3" t="s">
        <v>43</v>
      </c>
      <c r="G1" s="3" t="s">
        <v>29</v>
      </c>
    </row>
    <row r="2" spans="1:9" x14ac:dyDescent="0.2">
      <c r="A2" t="s">
        <v>406</v>
      </c>
      <c r="B2" t="s">
        <v>63</v>
      </c>
      <c r="C2" t="s">
        <v>277</v>
      </c>
      <c r="D2" t="s">
        <v>278</v>
      </c>
      <c r="E2" t="s">
        <v>336</v>
      </c>
      <c r="F2" t="s">
        <v>385</v>
      </c>
      <c r="G2" t="s">
        <v>384</v>
      </c>
      <c r="I2" s="3" t="s">
        <v>387</v>
      </c>
    </row>
    <row r="3" spans="1:9" x14ac:dyDescent="0.2">
      <c r="A3" t="s">
        <v>406</v>
      </c>
      <c r="B3" t="s">
        <v>63</v>
      </c>
      <c r="C3" t="s">
        <v>339</v>
      </c>
      <c r="D3" t="s">
        <v>340</v>
      </c>
      <c r="E3" t="s">
        <v>336</v>
      </c>
      <c r="F3" t="s">
        <v>385</v>
      </c>
      <c r="G3" t="s">
        <v>384</v>
      </c>
      <c r="I3" t="s">
        <v>146</v>
      </c>
    </row>
    <row r="4" spans="1:9" x14ac:dyDescent="0.2">
      <c r="A4" t="s">
        <v>406</v>
      </c>
      <c r="B4" t="s">
        <v>260</v>
      </c>
      <c r="C4" t="s">
        <v>277</v>
      </c>
      <c r="D4" t="s">
        <v>278</v>
      </c>
      <c r="E4" t="s">
        <v>336</v>
      </c>
      <c r="F4" t="s">
        <v>385</v>
      </c>
      <c r="G4" t="s">
        <v>384</v>
      </c>
      <c r="I4" t="s">
        <v>147</v>
      </c>
    </row>
    <row r="5" spans="1:9" x14ac:dyDescent="0.2">
      <c r="A5" t="s">
        <v>406</v>
      </c>
      <c r="B5" t="s">
        <v>260</v>
      </c>
      <c r="C5" t="s">
        <v>339</v>
      </c>
      <c r="D5" t="s">
        <v>340</v>
      </c>
      <c r="E5" t="s">
        <v>336</v>
      </c>
      <c r="F5" t="s">
        <v>385</v>
      </c>
      <c r="G5" t="s">
        <v>384</v>
      </c>
      <c r="I5" t="s">
        <v>50</v>
      </c>
    </row>
    <row r="6" spans="1:9" x14ac:dyDescent="0.2">
      <c r="A6" t="s">
        <v>406</v>
      </c>
      <c r="B6" t="s">
        <v>261</v>
      </c>
      <c r="C6" t="s">
        <v>277</v>
      </c>
      <c r="D6" t="s">
        <v>278</v>
      </c>
      <c r="E6" t="s">
        <v>336</v>
      </c>
      <c r="F6" t="s">
        <v>385</v>
      </c>
      <c r="G6" t="s">
        <v>384</v>
      </c>
      <c r="I6" t="s">
        <v>45</v>
      </c>
    </row>
    <row r="7" spans="1:9" x14ac:dyDescent="0.2">
      <c r="A7" t="s">
        <v>406</v>
      </c>
      <c r="B7" t="s">
        <v>261</v>
      </c>
      <c r="C7" t="s">
        <v>339</v>
      </c>
      <c r="D7" t="s">
        <v>340</v>
      </c>
      <c r="E7" t="s">
        <v>336</v>
      </c>
      <c r="F7" t="s">
        <v>385</v>
      </c>
      <c r="G7" t="s">
        <v>384</v>
      </c>
      <c r="I7" t="s">
        <v>46</v>
      </c>
    </row>
    <row r="8" spans="1:9" x14ac:dyDescent="0.2">
      <c r="I8" t="s">
        <v>336</v>
      </c>
    </row>
    <row r="9" spans="1:9" x14ac:dyDescent="0.2">
      <c r="A9" t="s">
        <v>422</v>
      </c>
      <c r="B9" t="s">
        <v>63</v>
      </c>
      <c r="C9" t="s">
        <v>277</v>
      </c>
      <c r="D9" t="s">
        <v>278</v>
      </c>
      <c r="E9" t="s">
        <v>336</v>
      </c>
      <c r="F9" t="s">
        <v>386</v>
      </c>
      <c r="G9" t="s">
        <v>384</v>
      </c>
      <c r="I9" t="s">
        <v>47</v>
      </c>
    </row>
    <row r="10" spans="1:9" x14ac:dyDescent="0.2">
      <c r="A10" t="s">
        <v>422</v>
      </c>
      <c r="B10" t="s">
        <v>63</v>
      </c>
      <c r="C10" t="s">
        <v>339</v>
      </c>
      <c r="D10" t="s">
        <v>340</v>
      </c>
      <c r="E10" t="s">
        <v>336</v>
      </c>
      <c r="F10" t="s">
        <v>386</v>
      </c>
      <c r="G10" t="s">
        <v>384</v>
      </c>
      <c r="I10" t="s">
        <v>48</v>
      </c>
    </row>
    <row r="11" spans="1:9" x14ac:dyDescent="0.2">
      <c r="A11" t="s">
        <v>422</v>
      </c>
      <c r="B11" t="s">
        <v>74</v>
      </c>
      <c r="C11" t="s">
        <v>277</v>
      </c>
      <c r="D11" t="s">
        <v>278</v>
      </c>
      <c r="E11" t="s">
        <v>336</v>
      </c>
      <c r="F11" t="s">
        <v>386</v>
      </c>
      <c r="G11" t="s">
        <v>384</v>
      </c>
      <c r="I11" t="s">
        <v>49</v>
      </c>
    </row>
    <row r="12" spans="1:9" x14ac:dyDescent="0.2">
      <c r="A12" t="s">
        <v>422</v>
      </c>
      <c r="B12" t="s">
        <v>74</v>
      </c>
      <c r="C12" t="s">
        <v>339</v>
      </c>
      <c r="D12" t="s">
        <v>340</v>
      </c>
      <c r="E12" t="s">
        <v>336</v>
      </c>
      <c r="F12" t="s">
        <v>386</v>
      </c>
      <c r="G12" t="s">
        <v>384</v>
      </c>
      <c r="I12" t="s">
        <v>51</v>
      </c>
    </row>
    <row r="14" spans="1:9" x14ac:dyDescent="0.2">
      <c r="A14" t="s">
        <v>418</v>
      </c>
      <c r="B14" t="s">
        <v>63</v>
      </c>
      <c r="C14" t="s">
        <v>277</v>
      </c>
      <c r="D14" t="s">
        <v>278</v>
      </c>
      <c r="E14" t="s">
        <v>336</v>
      </c>
      <c r="F14" t="s">
        <v>337</v>
      </c>
      <c r="G14" t="s">
        <v>338</v>
      </c>
    </row>
    <row r="15" spans="1:9" x14ac:dyDescent="0.2">
      <c r="A15" t="s">
        <v>418</v>
      </c>
      <c r="B15" t="s">
        <v>63</v>
      </c>
      <c r="C15" t="s">
        <v>339</v>
      </c>
      <c r="D15" t="s">
        <v>340</v>
      </c>
      <c r="E15" t="s">
        <v>336</v>
      </c>
      <c r="F15" t="s">
        <v>337</v>
      </c>
      <c r="G15" t="s">
        <v>338</v>
      </c>
    </row>
    <row r="16" spans="1:9" x14ac:dyDescent="0.2">
      <c r="A16" t="s">
        <v>418</v>
      </c>
      <c r="B16" t="s">
        <v>63</v>
      </c>
      <c r="C16" t="s">
        <v>339</v>
      </c>
      <c r="D16" t="s">
        <v>340</v>
      </c>
      <c r="E16" t="s">
        <v>46</v>
      </c>
      <c r="F16" t="s">
        <v>341</v>
      </c>
      <c r="G16" t="s">
        <v>342</v>
      </c>
    </row>
    <row r="17" spans="1:7" x14ac:dyDescent="0.2">
      <c r="A17" t="s">
        <v>418</v>
      </c>
      <c r="B17" t="s">
        <v>63</v>
      </c>
      <c r="C17" t="s">
        <v>339</v>
      </c>
      <c r="D17" t="s">
        <v>340</v>
      </c>
      <c r="E17" t="s">
        <v>46</v>
      </c>
      <c r="F17" t="s">
        <v>343</v>
      </c>
      <c r="G17" t="s">
        <v>342</v>
      </c>
    </row>
    <row r="18" spans="1:7" x14ac:dyDescent="0.2">
      <c r="A18" t="s">
        <v>418</v>
      </c>
      <c r="B18" t="s">
        <v>260</v>
      </c>
      <c r="C18" t="s">
        <v>277</v>
      </c>
      <c r="D18" t="s">
        <v>278</v>
      </c>
      <c r="E18" t="s">
        <v>336</v>
      </c>
      <c r="F18" t="s">
        <v>341</v>
      </c>
      <c r="G18" t="s">
        <v>344</v>
      </c>
    </row>
    <row r="19" spans="1:7" x14ac:dyDescent="0.2">
      <c r="A19" t="s">
        <v>418</v>
      </c>
      <c r="B19" t="s">
        <v>261</v>
      </c>
      <c r="C19" t="s">
        <v>339</v>
      </c>
      <c r="D19" t="s">
        <v>340</v>
      </c>
      <c r="E19" t="s">
        <v>46</v>
      </c>
      <c r="F19" t="s">
        <v>345</v>
      </c>
      <c r="G19" t="s">
        <v>342</v>
      </c>
    </row>
    <row r="20" spans="1:7" x14ac:dyDescent="0.2">
      <c r="A20" t="s">
        <v>418</v>
      </c>
      <c r="B20" t="s">
        <v>261</v>
      </c>
      <c r="C20" t="s">
        <v>277</v>
      </c>
      <c r="D20" t="s">
        <v>278</v>
      </c>
      <c r="E20" t="s">
        <v>336</v>
      </c>
      <c r="F20" t="s">
        <v>346</v>
      </c>
      <c r="G20" t="s">
        <v>338</v>
      </c>
    </row>
    <row r="21" spans="1:7" x14ac:dyDescent="0.2">
      <c r="A21" t="s">
        <v>418</v>
      </c>
      <c r="B21" t="s">
        <v>261</v>
      </c>
      <c r="C21" t="s">
        <v>339</v>
      </c>
      <c r="D21" t="s">
        <v>340</v>
      </c>
      <c r="E21" t="s">
        <v>336</v>
      </c>
      <c r="F21" t="s">
        <v>346</v>
      </c>
      <c r="G21" t="s">
        <v>338</v>
      </c>
    </row>
    <row r="23" spans="1:7" x14ac:dyDescent="0.2">
      <c r="A23" t="s">
        <v>430</v>
      </c>
      <c r="B23" t="s">
        <v>63</v>
      </c>
      <c r="C23" t="s">
        <v>277</v>
      </c>
      <c r="D23" t="s">
        <v>278</v>
      </c>
      <c r="E23" t="s">
        <v>336</v>
      </c>
      <c r="F23" t="s">
        <v>347</v>
      </c>
      <c r="G23" t="s">
        <v>338</v>
      </c>
    </row>
    <row r="24" spans="1:7" x14ac:dyDescent="0.2">
      <c r="A24" t="s">
        <v>430</v>
      </c>
      <c r="B24" t="s">
        <v>63</v>
      </c>
      <c r="C24" t="s">
        <v>339</v>
      </c>
      <c r="D24" t="s">
        <v>340</v>
      </c>
      <c r="E24" t="s">
        <v>336</v>
      </c>
      <c r="F24" t="s">
        <v>347</v>
      </c>
      <c r="G24" t="s">
        <v>338</v>
      </c>
    </row>
    <row r="25" spans="1:7" x14ac:dyDescent="0.2">
      <c r="A25" t="s">
        <v>430</v>
      </c>
      <c r="B25" t="s">
        <v>262</v>
      </c>
      <c r="C25" t="s">
        <v>277</v>
      </c>
      <c r="D25" t="s">
        <v>278</v>
      </c>
      <c r="E25" t="s">
        <v>336</v>
      </c>
      <c r="F25" t="s">
        <v>348</v>
      </c>
      <c r="G25" t="s">
        <v>338</v>
      </c>
    </row>
    <row r="26" spans="1:7" x14ac:dyDescent="0.2">
      <c r="A26" t="s">
        <v>430</v>
      </c>
      <c r="B26" t="s">
        <v>262</v>
      </c>
      <c r="C26" t="s">
        <v>339</v>
      </c>
      <c r="D26" t="s">
        <v>340</v>
      </c>
      <c r="E26" t="s">
        <v>336</v>
      </c>
      <c r="F26" t="s">
        <v>348</v>
      </c>
      <c r="G26" t="s">
        <v>338</v>
      </c>
    </row>
    <row r="27" spans="1:7" x14ac:dyDescent="0.2">
      <c r="A27" t="s">
        <v>430</v>
      </c>
      <c r="B27" t="s">
        <v>263</v>
      </c>
      <c r="C27" t="s">
        <v>277</v>
      </c>
      <c r="D27" t="s">
        <v>278</v>
      </c>
      <c r="E27" t="s">
        <v>336</v>
      </c>
      <c r="F27" t="s">
        <v>347</v>
      </c>
      <c r="G27" t="s">
        <v>338</v>
      </c>
    </row>
    <row r="28" spans="1:7" x14ac:dyDescent="0.2">
      <c r="A28" t="s">
        <v>430</v>
      </c>
      <c r="B28" t="s">
        <v>263</v>
      </c>
      <c r="C28" t="s">
        <v>339</v>
      </c>
      <c r="D28" t="s">
        <v>340</v>
      </c>
      <c r="E28" t="s">
        <v>336</v>
      </c>
      <c r="F28" t="s">
        <v>347</v>
      </c>
      <c r="G28" t="s">
        <v>338</v>
      </c>
    </row>
    <row r="30" spans="1:7" x14ac:dyDescent="0.2">
      <c r="A30" s="16" t="s">
        <v>438</v>
      </c>
      <c r="B30" t="s">
        <v>260</v>
      </c>
      <c r="C30" t="s">
        <v>277</v>
      </c>
      <c r="D30" t="s">
        <v>278</v>
      </c>
      <c r="E30" t="s">
        <v>336</v>
      </c>
      <c r="F30" t="s">
        <v>279</v>
      </c>
      <c r="G30" t="s">
        <v>338</v>
      </c>
    </row>
    <row r="31" spans="1:7" x14ac:dyDescent="0.2">
      <c r="A31" s="16"/>
      <c r="C31" s="16"/>
      <c r="D31" s="16"/>
      <c r="E31" s="16"/>
      <c r="F31" s="16"/>
      <c r="G31" s="16"/>
    </row>
    <row r="32" spans="1:7" x14ac:dyDescent="0.2">
      <c r="A32" s="16"/>
      <c r="C32" s="16"/>
      <c r="D32" s="16"/>
      <c r="E32" s="16"/>
      <c r="F32" s="16"/>
      <c r="G32" s="16"/>
    </row>
    <row r="33" spans="1:7" x14ac:dyDescent="0.2">
      <c r="A33" s="16"/>
      <c r="B33" s="16"/>
      <c r="C33" s="16"/>
      <c r="D33" s="16"/>
      <c r="E33" s="16"/>
      <c r="F33" s="16"/>
      <c r="G33" s="16"/>
    </row>
    <row r="34" spans="1:7" x14ac:dyDescent="0.2">
      <c r="A34" s="16"/>
      <c r="B34" s="16"/>
      <c r="C34" s="16"/>
      <c r="D34" s="16"/>
      <c r="E34" s="16"/>
      <c r="F34" s="16"/>
      <c r="G34" s="16"/>
    </row>
    <row r="35" spans="1:7" x14ac:dyDescent="0.2">
      <c r="A35" s="16"/>
      <c r="C35" s="16"/>
      <c r="D35" s="16"/>
      <c r="E35" s="16"/>
      <c r="F35" s="16"/>
      <c r="G35" s="16"/>
    </row>
    <row r="36" spans="1:7" x14ac:dyDescent="0.2">
      <c r="A36" s="16"/>
      <c r="C36" s="16"/>
      <c r="D36" s="16"/>
      <c r="E36" s="16"/>
      <c r="F36" s="16"/>
      <c r="G36" s="16"/>
    </row>
    <row r="37" spans="1:7" x14ac:dyDescent="0.2">
      <c r="A37" s="16"/>
      <c r="B37" s="16"/>
      <c r="C37" s="16"/>
      <c r="D37" s="16"/>
      <c r="E37" s="16"/>
      <c r="F37" s="16"/>
      <c r="G37" s="16"/>
    </row>
    <row r="38" spans="1:7" x14ac:dyDescent="0.2">
      <c r="A38" s="16"/>
      <c r="B38" s="16"/>
      <c r="C38" s="16"/>
      <c r="D38" s="16"/>
      <c r="E38" s="16"/>
      <c r="F38" s="16"/>
      <c r="G38" s="16"/>
    </row>
    <row r="45" spans="1:7" x14ac:dyDescent="0.2">
      <c r="A45" s="16"/>
      <c r="C45" s="16"/>
      <c r="D45" s="16"/>
      <c r="E45" s="16"/>
      <c r="F45" s="16"/>
      <c r="G45" s="16"/>
    </row>
    <row r="46" spans="1:7" x14ac:dyDescent="0.2">
      <c r="A46" s="16"/>
      <c r="C46" s="16"/>
      <c r="D46" s="16"/>
      <c r="E46" s="16"/>
      <c r="F46" s="16"/>
      <c r="G46" s="16"/>
    </row>
    <row r="47" spans="1:7" x14ac:dyDescent="0.2">
      <c r="A47" s="16"/>
      <c r="C47" s="16"/>
      <c r="D47" s="16"/>
      <c r="E47" s="16"/>
      <c r="F47" s="16"/>
      <c r="G47" s="16"/>
    </row>
    <row r="48" spans="1:7" x14ac:dyDescent="0.2">
      <c r="A48" s="16"/>
      <c r="C48" s="16"/>
      <c r="D48" s="16"/>
      <c r="E48" s="16"/>
      <c r="F48" s="16"/>
      <c r="G48" s="16"/>
    </row>
    <row r="49" spans="1:7" x14ac:dyDescent="0.2">
      <c r="A49" s="16"/>
      <c r="C49" s="16"/>
      <c r="D49" s="16"/>
      <c r="E49" s="16"/>
      <c r="F49" s="16"/>
      <c r="G49" s="16"/>
    </row>
    <row r="50" spans="1:7" x14ac:dyDescent="0.2">
      <c r="A50" s="16"/>
      <c r="C50" s="16"/>
      <c r="D50" s="16"/>
      <c r="E50" s="16"/>
      <c r="F50" s="16"/>
      <c r="G50" s="16"/>
    </row>
    <row r="51" spans="1:7" x14ac:dyDescent="0.2">
      <c r="A51" s="16"/>
      <c r="C51" s="16"/>
      <c r="D51" s="16"/>
      <c r="E51" s="16"/>
      <c r="F51" s="16"/>
      <c r="G51" s="16"/>
    </row>
    <row r="52" spans="1:7" x14ac:dyDescent="0.2">
      <c r="A52" s="16"/>
      <c r="C52" s="16"/>
      <c r="D52" s="16"/>
      <c r="E52" s="16"/>
      <c r="F52" s="16"/>
      <c r="G52" s="16"/>
    </row>
    <row r="53" spans="1:7" x14ac:dyDescent="0.2">
      <c r="A53" s="16"/>
      <c r="C53" s="16"/>
      <c r="D53" s="16"/>
      <c r="E53" s="16"/>
      <c r="F53" s="16"/>
      <c r="G53" s="16"/>
    </row>
    <row r="54" spans="1:7" x14ac:dyDescent="0.2">
      <c r="A54" s="16"/>
      <c r="C54" s="16"/>
      <c r="D54" s="16"/>
      <c r="E54" s="16"/>
      <c r="F54" s="16"/>
      <c r="G54" s="16"/>
    </row>
    <row r="55" spans="1:7" x14ac:dyDescent="0.2">
      <c r="A55" s="16"/>
      <c r="C55" s="16"/>
      <c r="D55" s="16"/>
      <c r="E55" s="16"/>
      <c r="F55" s="16"/>
      <c r="G55" s="16"/>
    </row>
    <row r="56" spans="1:7" x14ac:dyDescent="0.2">
      <c r="A56" s="16"/>
      <c r="C56" s="16"/>
      <c r="D56" s="16"/>
      <c r="E56" s="16"/>
      <c r="F56" s="16"/>
      <c r="G56" s="16"/>
    </row>
    <row r="57" spans="1:7" x14ac:dyDescent="0.2">
      <c r="A57" s="16"/>
      <c r="C57" s="16"/>
      <c r="D57" s="16"/>
      <c r="E57" s="16"/>
      <c r="F57" s="16"/>
      <c r="G57" s="16"/>
    </row>
    <row r="58" spans="1:7" x14ac:dyDescent="0.2">
      <c r="A58" s="16"/>
      <c r="C58" s="16"/>
      <c r="D58" s="16"/>
      <c r="E58" s="16"/>
      <c r="F58" s="16"/>
      <c r="G58" s="16"/>
    </row>
    <row r="59" spans="1:7" x14ac:dyDescent="0.2">
      <c r="A59" s="16"/>
      <c r="C59" s="16"/>
      <c r="D59" s="16"/>
      <c r="E59" s="16"/>
      <c r="F59" s="16"/>
      <c r="G59" s="16"/>
    </row>
    <row r="63" spans="1:7" x14ac:dyDescent="0.2">
      <c r="A63" s="19"/>
      <c r="B63" s="19"/>
      <c r="C63" s="19"/>
      <c r="D63" s="19"/>
      <c r="E63" s="19"/>
      <c r="F63" s="19"/>
      <c r="G63" s="19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spans="1:7" x14ac:dyDescent="0.2">
      <c r="A81" s="19"/>
      <c r="B81" s="19"/>
      <c r="C81" s="19"/>
      <c r="D81" s="19"/>
      <c r="E81" s="19"/>
      <c r="F81" s="19"/>
      <c r="G81" s="19"/>
    </row>
  </sheetData>
  <dataValidations count="1">
    <dataValidation type="list" allowBlank="1" showInputMessage="1" showErrorMessage="1" sqref="E61:E62 E106:E359 E72:E80 E29 E2:E13" xr:uid="{8F672F10-6EF9-444A-BBEC-8F9F25A20E2F}">
      <formula1>$I$3:$I$12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definitions</vt:lpstr>
      <vt:lpstr>all_runs</vt:lpstr>
      <vt:lpstr>dataset_summary</vt:lpstr>
      <vt:lpstr>artifiact_completeness</vt:lpstr>
      <vt:lpstr>stability</vt:lpstr>
      <vt:lpstr>coverage</vt:lpstr>
      <vt:lpstr>warnings</vt:lpstr>
      <vt:lpstr>mendix_builder</vt:lpstr>
      <vt:lpstr>mendix_errors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Louws, M.N. (Matthias)</dc:creator>
  <cp:lastModifiedBy>Louws, M.N. (Matthias)</cp:lastModifiedBy>
  <dcterms:created xsi:type="dcterms:W3CDTF">2026-05-28T17:20:23Z</dcterms:created>
  <dcterms:modified xsi:type="dcterms:W3CDTF">2026-07-02T12:36:05Z</dcterms:modified>
</cp:coreProperties>
</file>