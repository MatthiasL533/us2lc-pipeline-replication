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solisservices-my.sharepoint.com/personal/m_n_louws_students_uu_nl/Documents/Thesis/Qualitative evaluation/"/>
    </mc:Choice>
  </mc:AlternateContent>
  <xr:revisionPtr revIDLastSave="573" documentId="8_{3298AFFF-4C98-6A4B-95AB-68B903D69691}" xr6:coauthVersionLast="47" xr6:coauthVersionMax="47" xr10:uidLastSave="{6F216F1B-4A94-E74A-8250-2FC4BA813FEC}"/>
  <bookViews>
    <workbookView xWindow="0" yWindow="660" windowWidth="29400" windowHeight="18460" activeTab="2" xr2:uid="{6BD9D8BA-083B-BB44-901B-E966EF7C5CBD}"/>
  </bookViews>
  <sheets>
    <sheet name="codebook" sheetId="1" r:id="rId1"/>
    <sheet name="questions" sheetId="2" r:id="rId2"/>
    <sheet name="final_code_definitions" sheetId="3" r:id="rId3"/>
    <sheet name="theme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2" i="1"/>
</calcChain>
</file>

<file path=xl/sharedStrings.xml><?xml version="1.0" encoding="utf-8"?>
<sst xmlns="http://schemas.openxmlformats.org/spreadsheetml/2006/main" count="1122" uniqueCount="563">
  <si>
    <t>Phase</t>
  </si>
  <si>
    <t>Timestamp</t>
  </si>
  <si>
    <t>Artifact inspected</t>
  </si>
  <si>
    <t>Evidence / quote</t>
  </si>
  <si>
    <t>Initial code</t>
  </si>
  <si>
    <t>Final code</t>
  </si>
  <si>
    <t>Theme</t>
  </si>
  <si>
    <t>Stance</t>
  </si>
  <si>
    <t>Expectations</t>
  </si>
  <si>
    <t>Conditional</t>
  </si>
  <si>
    <t>Suggestion</t>
  </si>
  <si>
    <t>company-specific Mendix conventions</t>
  </si>
  <si>
    <t>Negative</t>
  </si>
  <si>
    <t>Positive</t>
  </si>
  <si>
    <t>staged generation preferred</t>
  </si>
  <si>
    <t>Domain model</t>
  </si>
  <si>
    <t>process depends on data model</t>
  </si>
  <si>
    <t>Ik denk dat ik initieel wel iets van controle zou willen hebben over hoe die precies dingen gaat opstellen.</t>
  </si>
  <si>
    <t>Het format waarmee je het invoert, daar zal je ook ergens een voorbeeld van moeten geven.</t>
  </si>
  <si>
    <t>Tussen bedrijven [kan het] heel erg verschillen hoe ze Mendix gebruiken of hoe ze bepaalde dingen opzetten.</t>
  </si>
  <si>
    <t>Als het gewoon in grote lijnen al niet echt overeenkomt met hoe je dingen zou willen zien, dan denk ik dat het snel ophoudt.</t>
  </si>
  <si>
    <t>Misschien dat je iets van voorbeeldapps erin zou kunnen gooien waar hij iets van kan overnemen.</t>
  </si>
  <si>
    <t>Ik denk dat je met dingen als masterdata zou gaan beginnen. Alsin echt de core van je processen en je informatie.</t>
  </si>
  <si>
    <t>Je [zou] het waarschijnlijk stapsgewijs willen opbouwen.</t>
  </si>
  <si>
    <t>Je begint met de data en hoe dat zich tot elkaar verhoudt.</t>
  </si>
  <si>
    <t>Beginnen met domeinmodel is denk ik de meest logische keuze, omdat je daarmee genoodzaakt [bent] echt na te denken over alles wat je nodig hebt.</t>
  </si>
  <si>
    <t>n/a</t>
  </si>
  <si>
    <t>Architecture walkthrough</t>
  </si>
  <si>
    <t>Wij werken natuurlijk altijd aan de hand van tickets binnen zo'n Scrum methodiek... die zijn altijd meer dan die ene zin.</t>
  </si>
  <si>
    <t>Als ontwikkelaars kun je het anders ook niet testen, want dan weet je ook niet... je kunt het heel breed interpreteren.</t>
  </si>
  <si>
    <t>Hoe duidelijker je bent, hoe groter de kans dat je ook echt datgene krijgt wat je wil.</t>
  </si>
  <si>
    <t>Dan zit er minder interpretatie bij als je dat wat meer afbakent.</t>
  </si>
  <si>
    <t>Als ik dit zo zie heb ik niet meteen zoiets van oh, ik weet precies wat ik hiermee kan of moet doen.</t>
  </si>
  <si>
    <t>De kracht van low code is ook dat het redelijk intuïtief is.</t>
  </si>
  <si>
    <t>Dit op zich niet zou hoeven zien... maar op zich is een controlestap om te verifiëren dat die inderdaad het goed gaat maken waarschijnlijk heel handig.</t>
  </si>
  <si>
    <t>Ik weet niet precies wat ik hierin zou kunnen aanpassen... wat mijn invloed hier zou kunnen zijn.</t>
  </si>
  <si>
    <t>Ervan uitgaan dat je een hoop richting kan geven, nog meer sturing bovenop wat hier staat, denk ik dat het alleen maar handig is.</t>
  </si>
  <si>
    <t>Wat ik hier zie, spreekt voor mij meer tot de verbeelding dan wat je eerder liet zien.</t>
  </si>
  <si>
    <t>Hoe je dat dan zou willen aanpassen is denk ik een volgende vraag, want dit is wel echt een berg aan informatie.</t>
  </si>
  <si>
    <t>Het is bijna dat je Mendix aan het nabouwen bent om het allemaal weer te geven.</t>
  </si>
  <si>
    <t>De grote lijnen zo kunnen volgen en zien: dit is ongeveer wel wat ik wil. Dat is denk ik de kracht hiervan.</t>
  </si>
  <si>
    <t>Ik denk niet dat de kracht per se zit in dit attribuut verplaatsen naar die entiteit.</t>
  </si>
  <si>
    <t>Als die grote lijnen niet klopt, dat je dan opnieuw laat maken in plaats van dat je... alles gaat herschrijven.</t>
  </si>
  <si>
    <t>Een vooraanzicht van wat ie gaat maken is denk ik wel heel handig.</t>
  </si>
  <si>
    <t>Hoe krijg ik controle over datgene wat hij dan dus in één keer eigenlijk gaat genereren?</t>
  </si>
  <si>
    <t>Dan wil je eigenlijk die input nog beter hebben... dan is dat nog belangrijker.</t>
  </si>
  <si>
    <t>Inputs</t>
  </si>
  <si>
    <t>Plan</t>
  </si>
  <si>
    <t>In ieder geval dat je daar iets van context aan kan geven voor datgene wat hij gaat maken</t>
  </si>
  <si>
    <t>ID</t>
  </si>
  <si>
    <t>Questions</t>
  </si>
  <si>
    <t>Wat verwacht jij van een tool die automatisch Mendix-apps kan genereren? Wat is jouw beeld daarbij?</t>
  </si>
  <si>
    <t xml:space="preserve">Wat zou voor jou dan een bruikbaar startpunt zijn? </t>
  </si>
  <si>
    <t>Question</t>
  </si>
  <si>
    <t>Dat hij dus inderdaad eerst nadenkt over echt de belangrijkste dingen die de basis vormen van je app.</t>
  </si>
  <si>
    <t>En dat hij daarna bijvoorbeeld gaat nadenken over meer specifieke functionaliteiten.</t>
  </si>
  <si>
    <t>Ja, bedoel je daarmee het domeinmodel ook echt al met masterdata?</t>
  </si>
  <si>
    <t>Dat (masterdata) vormt de basis van de rest van je app. Dat ga je gewoon overal terugzien.</t>
  </si>
  <si>
    <t>Dus dat zou je eerst moeten hebben staan voordat je zomaar met de rest zou beginnen. Daar zit ook een domein model bij, niet zozeer de logica.</t>
  </si>
  <si>
    <t>Je kan niet direct eerst een proces gaan bouwen zonder masterdata, je hebt het een wel nodig voor het ander.</t>
  </si>
  <si>
    <t xml:space="preserve">Voor een AI [is dat] misschien soms lastig... Het is makkelijker voor een AI om dat apart van elkaar op te zetten omdat je dan minder afhankelijkheden hebt. </t>
  </si>
  <si>
    <t>control over generation</t>
  </si>
  <si>
    <t>high-level fit determines usefulness</t>
  </si>
  <si>
    <t>context needed for generation</t>
  </si>
  <si>
    <t>master data as starting point</t>
  </si>
  <si>
    <t>staged build-up preferred</t>
  </si>
  <si>
    <t>foundational concepts before functionality</t>
  </si>
  <si>
    <t>specific functionality after foundation</t>
  </si>
  <si>
    <t>master data as application foundation</t>
  </si>
  <si>
    <t>data and relationships first</t>
  </si>
  <si>
    <t>domain model as logical starting point</t>
  </si>
  <si>
    <t>process depends on master data</t>
  </si>
  <si>
    <t>AI difficulty with bigger picture</t>
  </si>
  <si>
    <t>PV/VN outputs</t>
  </si>
  <si>
    <t>Heel fijn dat je het een beetje openhoudt, maar soms is iets van inderdaad acceptatiecriteria ook fijn.</t>
  </si>
  <si>
    <t>De kwaliteit van de tickets is echt van heel groot belang voor de kwaliteit van de apps.</t>
  </si>
  <si>
    <t>Ja, en bij de ene klant heb je daar iets meer vrijheid in dan dan bij de andere</t>
  </si>
  <si>
    <t>Dus als wij dit bijvoorbeeld in een in een interface hebben (…) dat zou wel nuttig zijn?</t>
  </si>
  <si>
    <t>Code</t>
  </si>
  <si>
    <t>Definition</t>
  </si>
  <si>
    <t>Include when</t>
  </si>
  <si>
    <t>Exclude when</t>
  </si>
  <si>
    <t>Example quote</t>
  </si>
  <si>
    <t>tickets contain more than user-story sentence</t>
  </si>
  <si>
    <t>acceptance criteria useful</t>
  </si>
  <si>
    <t>acceptance criteria useful for testing</t>
  </si>
  <si>
    <t>customer context affects developer freedom</t>
  </si>
  <si>
    <t>ticket quality determines app quality</t>
  </si>
  <si>
    <t>clearer input improves output fit</t>
  </si>
  <si>
    <t>clearer scope reduces interpretation</t>
  </si>
  <si>
    <t>PV/VN outputs unclear to developer</t>
  </si>
  <si>
    <t>low-code should remain intuitive</t>
  </si>
  <si>
    <t>intermediate validation useful</t>
  </si>
  <si>
    <t>review influence unclear</t>
  </si>
  <si>
    <t>developer steering useful</t>
  </si>
  <si>
    <t>Zie jij hier nut in? In in in zo'n tussenstap waarbij jij nog invloed hebt als als developer?</t>
  </si>
  <si>
    <t>Ik zie inderdaad ook user roles en module roles staan in het plan. Moet ik daar dan ook dingen in kunnen aanpassen? Als apps groter worden, kan dat wel een hele lijst zijn en ziet het er eigenlijk hetzelfde uit als wanneer je security in je app maakt.</t>
  </si>
  <si>
    <t>Bij entiteiten en associaties zou je van tevoren veel kunnen aanpassen, bijvoorbeeld dat een entiteit bepaalde informatie bevat die je toch in een andere entiteit wilt hebben, of dat een associatie net iets anders moet.</t>
  </si>
  <si>
    <t>Hij heeft bepaalde entiteiten aangemaakt, maar dat is echt totaal niet hoe ik het in mijn hoofd heb. Dan zou je misschien eerder zeggen: ik doe het gewoon nog eens. Het gaat dan meer om het opnieuw prompten.</t>
  </si>
  <si>
    <t>Als hij bepaalde entiteiten aanmaakt die totaal niet overeenkomen met hoe ik het in mijn hoofd heb, zou ik eerder zeggen: ik doe het gewoon nog eens. Dan gaat het meer om opnieuw prompten.</t>
  </si>
  <si>
    <t>Als je dingen in het plan gaat aanpassen, is dat door de hoeveelheid informatie waarschijnlijk vooral voor kleine aanpassingen; die kun je bijna beter direct in de modeler doen, omdat dat intuïtiever werkt en minder ontwikkelwerk vraagt.</t>
  </si>
  <si>
    <t xml:space="preserve">Komt dat ook omdat jij als developer gewoon meer ervaring hebt met Mendix waardoor jij dingen sneller weet te vinden bijvoorbeeld? </t>
  </si>
  <si>
    <t>Maar stel hij maakt 10 modellen aan, dan is het natuurlijk wel heel veel informatie om om door te pluizen, in plaats van als je gewoon als je het in de app opent.</t>
  </si>
  <si>
    <t>Kun je het omschrijven als een chatinterface, vergelijkbaar met ChatGPT, waarmee je heen en weer communiceert met een agent?</t>
  </si>
  <si>
    <t>Dus nadat hij dat heeft gedaan, kijk je: oké, is dit wat ik wil? Dat kan heel inefficiënt zijn qua tijd als je dat continu moet doen. Als dit telkens vijf minuten scheelt, dan levert dat veel op.</t>
  </si>
  <si>
    <t>Het genereren duurt lang, op een gehuurde GPU duurde dat 13 minuten ongeveer per per plan.</t>
  </si>
  <si>
    <t xml:space="preserve">PV/VN output nuttig? </t>
  </si>
  <si>
    <t>plan provides understandable review artifact</t>
  </si>
  <si>
    <t>plan provides information overload</t>
  </si>
  <si>
    <t>plan interface risks rebuilding Mendix</t>
  </si>
  <si>
    <t>same effort in Mendix as in plan</t>
  </si>
  <si>
    <t>plan allows corrections</t>
  </si>
  <si>
    <t>reprompting preferred for structural mismatch</t>
  </si>
  <si>
    <t>small changes better done in modeler</t>
  </si>
  <si>
    <t>large plan hard to inspect</t>
  </si>
  <si>
    <t>plan useful for high-level direction</t>
  </si>
  <si>
    <t>plan not useful for fine-grained edits</t>
  </si>
  <si>
    <t>preview before generation useful</t>
  </si>
  <si>
    <t>control over one-shot generation needed</t>
  </si>
  <si>
    <t>input importance</t>
  </si>
  <si>
    <t>Application walkthrough</t>
  </si>
  <si>
    <t>Meestal letten we er altijd wel op dat associaties leesbaar blijven. Dit kan ik niet echt zien, behalve als ik hem aanklik.</t>
  </si>
  <si>
    <t>Het concept van hergebruik in Mendix is heel belangrijk. Ik zou het gewoon in één entiteit gooien met iets van een enumwaarde, waardoor je het een stuk kleiner houdt.</t>
  </si>
  <si>
    <t>Als de app groter wordt, kan dit best wel gaan groeien.</t>
  </si>
  <si>
    <t>Omdat het met niks gekoppeld is, is het gewoon plat opslaan van informatie. Dat kun je ook met een enumeration doen.</t>
  </si>
  <si>
    <t>Security</t>
  </si>
  <si>
    <t>Rechten is natuurlijk best wel een groot ding; daar valt of staat een app mee.</t>
  </si>
  <si>
    <t>Meestal probeer ik het ook altijd een beetje te groeperen; dat heeft hij hier wel in een soort structuur opgezet, maar het kan nog meer in groepjes.</t>
  </si>
  <si>
    <t>Het hangt heel vaak aan één centrale entiteit vast, maar tussen die entiteiten is eigenlijk nooit een verband.</t>
  </si>
  <si>
    <t>Documentation</t>
  </si>
  <si>
    <t>Als een LLM het voor je aanmaakt, is het een kleine moeite om aan te geven wat zijn idee is van deze entiteit.</t>
  </si>
  <si>
    <t>In het domeinmodel gebruiken we documentatie, maar veruit het meest in microflows.</t>
  </si>
  <si>
    <t>Voor de begrijpbaarheid door anderen is dat echt superbelangrijk; annotaties zijn eigenlijk de manier om dingen uit te leggen.</t>
  </si>
  <si>
    <t>Microflows</t>
  </si>
  <si>
    <t>Qua prefixes zie ik dat hij die hier niet heeft.</t>
  </si>
  <si>
    <t>Ik zou verwachten dat dit ergens vanuit een knop wordt aangeroepen; dan is het best raar dat hij hier gewoon een database retrieve doet.</t>
  </si>
  <si>
    <t>Als je het uit de database ophaalt terwijl je net iets in je geheugen hebt aangepast, sla je niet op wat je eigenlijk wil opslaan.</t>
  </si>
  <si>
    <t>Ik denk dat deze flow wat dat betreft een beetje de plank misslaat.</t>
  </si>
  <si>
    <t>Meestal staan parameters linksboven; dat maakt het allemaal wel iets leesbaarder.</t>
  </si>
  <si>
    <t>Als een microflow uit een knop wordt aangeroepen, zou ACT_FreelanceTeacher_Approval de goede naamconventie zijn.</t>
  </si>
  <si>
    <t>Een voorzetje met de juiste naamconventie en het idee van de flow is wel een stap in de goede richting.</t>
  </si>
  <si>
    <t>Het geeft aan wat hij in ieder geval wil met die knop, anders is het lastig te interpreteren.</t>
  </si>
  <si>
    <t>Nu is het een beetje onoverzichtelijk; bij grotere apps gaat het helemaal mis en kun je niks meer vinden.</t>
  </si>
  <si>
    <t>Wij zetten dingen per entiteit in een map, met submapjes voor microflows, nanoflows, pages en resources.</t>
  </si>
  <si>
    <t>Het kan per bedrijf verschillen hoe ze dat precies doen; dat zou je moeten kunnen aangeven.</t>
  </si>
  <si>
    <t>Workflow</t>
  </si>
  <si>
    <t>Hij heeft wel goed ontdekt dat dit een workflow zou moeten zijn.</t>
  </si>
  <si>
    <t>Het ziet er op zich wel goed uit, want je doet het met System.User, maar je kent het niet op module-niveau toe; dat doe je op app-niveau.</t>
  </si>
  <si>
    <t>Het zou heel handig zijn om door je app heen aan te geven waar iets voor dient.</t>
  </si>
  <si>
    <t>Een workflow starten doen we eigenlijk altijd uit de microflow.</t>
  </si>
  <si>
    <t>Je hebt meer controle in de microflow; voor een workflow is het essentieel dat het contextobject al gecommit is.</t>
  </si>
  <si>
    <t>Voor create/delete-knoppen moet je in je domeinmodel direct toegang geven, maar best practice is om dat niet zomaar te doen.</t>
  </si>
  <si>
    <t>Het is veiliger om dat in een microflow te doen, waar je specifieke rechten en een specifieke plek aan kan toewijzen.</t>
  </si>
  <si>
    <t>Soms wil je nog meer dingen met die data doen voordat je het aanmaakt; als je andere voorwaarden hebt, doe je dat niet zomaar vanuit het domeinmodel.</t>
  </si>
  <si>
    <t>Op zich ziet dit er niet verkeerd uit; het is gewoon heel basic.</t>
  </si>
  <si>
    <t>In Workflow Commons zit standaardlogica voor takenoverzichten, dashboards en beheer van workflowtaken.</t>
  </si>
  <si>
    <t>Workflow Commons is zo waardevol; zonder die module haal je er bij lange na niet zoveel uit.</t>
  </si>
  <si>
    <t>Je zou de status in een parameter kunnen zetten en meegeven; dan heb je maar één flow nodig.</t>
  </si>
  <si>
    <t>Je ziet vaker dat je eerst een decision doet om te checken of de status niet al zo is, anders commit je voor niks.</t>
  </si>
  <si>
    <t>Bestaande projecten uploaden kan heel veel waarde bieden, omdat dat inspiratie kan bieden op veel gebieden.</t>
  </si>
  <si>
    <t>Pages</t>
  </si>
  <si>
    <t>Het is fijn als er al iets staat dat werkt; je hebt wel iets.</t>
  </si>
  <si>
    <t>Als je een pagina net wat anders wil inrichten, is het bijna makkelijker om zelf even wat in elkaar te klikken.</t>
  </si>
  <si>
    <t>Niet voor elke entiteit een new/edit page; alleen voor entiteiten die je daadwerkelijk wil aanmaken of bewerken.</t>
  </si>
  <si>
    <t>Het hangt van de data af waar je die weergeeft: soms alleen overview, soms details, soms een deel in overzicht en meer in een detailscherm.</t>
  </si>
  <si>
    <t>Navigation</t>
  </si>
  <si>
    <t>Een icon toevoegen is op zich maar een kleine moeite.</t>
  </si>
  <si>
    <t>Entity access zou echt nog een mooie stap erbovenop zijn; dat kost wel veel tijd om in te richten.</t>
  </si>
  <si>
    <t>We beginnen meestal meteen op production en voegen alleen toe wat benodigd is; je wil nooit meer toevoegen dan noodzakelijk.</t>
  </si>
  <si>
    <t>Bij grote apps kan het snel gebeuren dat je toch te veel toegang geeft.</t>
  </si>
  <si>
    <t>Het is best nuttig om security zelf te doen, omdat je dan altijd een bewuste keuze maakt om het toe te wijzen.</t>
  </si>
  <si>
    <t>Mendix gaat meer naar een agentic manier van werken, maar dat je er als mens over moet blijven nadenken staat vast.</t>
  </si>
  <si>
    <t>Ik zie hier heel veel losse entiteiten staan die niet echt netjes gelinkt zijn</t>
  </si>
  <si>
    <t>Association</t>
  </si>
  <si>
    <t>Entity</t>
  </si>
  <si>
    <t>Ik vraag me af of dit de meest efficiënte manier is om deze data op te slaan, want je gaat voor elke entiteit een tabel aanmaken</t>
  </si>
  <si>
    <t>Fijn om annotations in te vullen bij entiteit. Zeker als het onduidelijk is waar iets voor dient, is het fijn om daar toch iets in te zetten.</t>
  </si>
  <si>
    <t>Op welke plekken binnen Emixa gebruiken jullie annotaties en documentatie in Mendix?</t>
  </si>
  <si>
    <t>Als het system zich niet gaat bemoeien met de inhoud van een Microflow, maar  wel een voorzetje voor jou neerzet met de juiste naamconventie en het idee van de flow. En dat je hem dan alleen nog maar zelf hoeft te maken. Want wat zou je daarvan vinden?</t>
  </si>
  <si>
    <t>Hij heeft niks in mapjes gestopt.</t>
  </si>
  <si>
    <t>Overall model</t>
  </si>
  <si>
    <t xml:space="preserve">Heb je ook voor elke entiteit een uhm, zo'n new/edit page construct? </t>
  </si>
  <si>
    <t>association readability issue</t>
  </si>
  <si>
    <t>unlinked standalone entities</t>
  </si>
  <si>
    <t>reuse through enum preferred</t>
  </si>
  <si>
    <t>security is critical</t>
  </si>
  <si>
    <t>entity grouping could improve model</t>
  </si>
  <si>
    <t>relationships overly centralized</t>
  </si>
  <si>
    <t>entity documentation would be useful</t>
  </si>
  <si>
    <t>microflow documentation would be useful</t>
  </si>
  <si>
    <t>missing prefixes</t>
  </si>
  <si>
    <t>flow logic incorrect</t>
  </si>
  <si>
    <t>parameter placement improves readability</t>
  </si>
  <si>
    <t>microflow naming convention missing</t>
  </si>
  <si>
    <t>flow scaffold with naming useful</t>
  </si>
  <si>
    <t>no folder organization</t>
  </si>
  <si>
    <t>organization conventions are company-specific</t>
  </si>
  <si>
    <t>entity-based folder structure expected</t>
  </si>
  <si>
    <t>model organization does not scale</t>
  </si>
  <si>
    <t>workflow concept correctly identified</t>
  </si>
  <si>
    <t>workflow user assignment partly correct</t>
  </si>
  <si>
    <t>traceability to purpose useful</t>
  </si>
  <si>
    <t>workflows should start from microflows</t>
  </si>
  <si>
    <t>microflows give workflow control</t>
  </si>
  <si>
    <t>direct create/delete buttons risky</t>
  </si>
  <si>
    <t>microflow actions safer than direct buttons</t>
  </si>
  <si>
    <t>custom conditions require microflows</t>
  </si>
  <si>
    <t>workflow is basic but acceptable</t>
  </si>
  <si>
    <t>Workflow Commons provides standard functionality</t>
  </si>
  <si>
    <t>Workflow Commons adds practical value</t>
  </si>
  <si>
    <t>parameterized flow reduces duplication</t>
  </si>
  <si>
    <t>decision avoids unnecessary commit</t>
  </si>
  <si>
    <t>examples as input useful</t>
  </si>
  <si>
    <t>working page scaffold has some value</t>
  </si>
  <si>
    <t>manual page editing may be easier</t>
  </si>
  <si>
    <t>new/edit pages only when needed</t>
  </si>
  <si>
    <t>page design depends on data use</t>
  </si>
  <si>
    <t>navigation icon is minor fix</t>
  </si>
  <si>
    <t>entity access would improve security</t>
  </si>
  <si>
    <t>production security should be minimal</t>
  </si>
  <si>
    <t>not having entity access risks overexposure</t>
  </si>
  <si>
    <t>manual security supports conscious decisions</t>
  </si>
  <si>
    <t>human oversight remains necessary</t>
  </si>
  <si>
    <t>Final reflection</t>
  </si>
  <si>
    <t>Het concept wel, maar ik denk dat er veel moet gebeuren voordat het er echt is.</t>
  </si>
  <si>
    <t>Hier zou ik nog zoveel moeten doen om het volgens best practices erin te zetten; dat zou best wel wat werk zijn.</t>
  </si>
  <si>
    <t>Er is meer inzicht nodig in hoe dingen in je processen zouden moeten lopen om het echt tot zijn recht te laten komen.</t>
  </si>
  <si>
    <t>Het zijn nu hele generieke dingen; ik heb niet echt een flow gezien waarvan ik denk dat hij dingen helemaal probeert uit te denken.</t>
  </si>
  <si>
    <t>Het is ook niet dat hij nog validaties doet.</t>
  </si>
  <si>
    <t>Als processen complexer worden en strakker moeten samenwerken, dan wordt het denk ik lastiger.</t>
  </si>
  <si>
    <t>Het is bedoeld als opzet, maar als daar al meer complexiteit nodig is, wordt het lastiger.</t>
  </si>
  <si>
    <t>Per klant is het soms net even anders hoe het gedaan wordt; per project kan het weer anders zijn, dus dat moet flexibel kunnen zijn.</t>
  </si>
  <si>
    <t>Ik zou eerder zorgen dat je wat complexere concepten kan uitwerken in een app.</t>
  </si>
  <si>
    <t>Het is niet erg om zelf de security in te regelen; dat heeft ook voordelen. Maar als dat goed kan, is het super fijn.</t>
  </si>
  <si>
    <t>Dat er überhaupt iets werkbaars uitkomt, is denk ik al een hele prestatie.</t>
  </si>
  <si>
    <t>Werkt het concept voor jou als eventueel startpunt?</t>
  </si>
  <si>
    <t>Noem eens wat dingen die voor jou belangrijk zijn.</t>
  </si>
  <si>
    <t xml:space="preserve">Ik denk zodra je voorbij het punt bent waarbij het minder moeite is om het zelf goed te zetten, ten opzichte van het gewoon meteen zelf bouwen het goed is. </t>
  </si>
  <si>
    <t>Zonder dat je te veel rework nodig hebt</t>
  </si>
  <si>
    <t>Zelf vind ik bouwen leuker dan dingen nakijken; misschien kost het ene 1,5 uur en het andere 2 uur, maar misschien doe ik liever die 2 uur zelf.</t>
  </si>
  <si>
    <t>Ik kan ook wel een beetje samenvatten wat er uit het hele gesprek komt.</t>
  </si>
  <si>
    <t>Best practices zijn belangrijk, zowel die van Mendix rond bijvoorbeeld microflow-namen als die van Emixa of een andere commerciële partij. Daar is over de jaren heen gewoon veel kennis in verzameld.</t>
  </si>
  <si>
    <t>De complexiteit moet wat hoger liggen, denk ik. Vooral bij dingen als microflows.</t>
  </si>
  <si>
    <t>Bij entiteiten moet je ook gelijk nadenken over de toegang, dus over de security.</t>
  </si>
  <si>
    <t>Documentatie moet op veel meer plekken terugkomen: bij entiteiten, bij microflows met behulp van annotaties en bij user roles met iets beschrijvendere rollen.</t>
  </si>
  <si>
    <t>Heb ik dan nog iets gemist qua wat er echt nodig is om iets in de praktijk bruikbaar te maken?</t>
  </si>
  <si>
    <t>concept works but needs maturity</t>
  </si>
  <si>
    <t>useful once rework is less than rebuilding</t>
  </si>
  <si>
    <t>too much rework limits usefulness</t>
  </si>
  <si>
    <t>reviewing generated output less attractive than building</t>
  </si>
  <si>
    <t>best-practice rework required</t>
  </si>
  <si>
    <t>process insight needs improvement</t>
  </si>
  <si>
    <t>generated flows too generic</t>
  </si>
  <si>
    <t>missing validation logic</t>
  </si>
  <si>
    <t>process complexity makes generation harder</t>
  </si>
  <si>
    <t>scaffold usefulness depends on complexity</t>
  </si>
  <si>
    <t>best-practices are important</t>
  </si>
  <si>
    <t>microflow complexity needs improvement</t>
  </si>
  <si>
    <t>security should be considered with entities</t>
  </si>
  <si>
    <t>project-specific conventions require flexibility</t>
  </si>
  <si>
    <t>complex concepts should be generated better</t>
  </si>
  <si>
    <t>documentation needed across artifacts</t>
  </si>
  <si>
    <t>manual security setup acceptable, but generated would be good</t>
  </si>
  <si>
    <t>working generation is already a meaningful achievement</t>
  </si>
  <si>
    <t>developer control over generation</t>
  </si>
  <si>
    <t>examples as generation context</t>
  </si>
  <si>
    <t>project-specific conventions</t>
  </si>
  <si>
    <t>input context needed for generation</t>
  </si>
  <si>
    <t>domain model and master data as foundation</t>
  </si>
  <si>
    <t>AI struggles with cross-artifact dependencies</t>
  </si>
  <si>
    <t>requirements contain more than user-story sentence</t>
  </si>
  <si>
    <t>acceptance criteria support testability</t>
  </si>
  <si>
    <t>project-specific interpretation freedom</t>
  </si>
  <si>
    <t>input quality determines output quality</t>
  </si>
  <si>
    <t>input specificity reduces interpretation</t>
  </si>
  <si>
    <t>intermediate outputs unclear to developer</t>
  </si>
  <si>
    <t>low-code interaction should remain intuitive</t>
  </si>
  <si>
    <t>intermediate validation is useful</t>
  </si>
  <si>
    <t>review influence must be clear</t>
  </si>
  <si>
    <t>developer steering is useful</t>
  </si>
  <si>
    <t>plan is more understandable than PV/VN outputs</t>
  </si>
  <si>
    <t>plan review can become too complex</t>
  </si>
  <si>
    <t>plan supports pre-build correction</t>
  </si>
  <si>
    <t>fine-grained edits belong in the Modeler</t>
  </si>
  <si>
    <t>plan useful for high-level review</t>
  </si>
  <si>
    <t>preview reduces wasted generation time</t>
  </si>
  <si>
    <t>associations and entity links need improvement</t>
  </si>
  <si>
    <t>entity reuse/generalization preferred</t>
  </si>
  <si>
    <t>security is critical for app correctness</t>
  </si>
  <si>
    <t>domain model grouping could improve</t>
  </si>
  <si>
    <t>documentation and traceability needed</t>
  </si>
  <si>
    <t>Mendix naming conventions expected</t>
  </si>
  <si>
    <t>generated microflow logic incorrect</t>
  </si>
  <si>
    <t>microflow layout/readability convention followed</t>
  </si>
  <si>
    <t>useful microflow scaffold</t>
  </si>
  <si>
    <t>folder organization needed for scalability</t>
  </si>
  <si>
    <t>workflows should be controlled through microflows</t>
  </si>
  <si>
    <t>direct page actions create security/control risks</t>
  </si>
  <si>
    <t>parameterization reduces duplicate flows</t>
  </si>
  <si>
    <t>validation/decision logic missing</t>
  </si>
  <si>
    <t>page scaffold has limited value</t>
  </si>
  <si>
    <t>pages should be generated selectively</t>
  </si>
  <si>
    <t>navigation issues are minor fixes</t>
  </si>
  <si>
    <t>least-privilege security needed</t>
  </si>
  <si>
    <t>security setup remains human-sensitive</t>
  </si>
  <si>
    <t>concept promising but immature</t>
  </si>
  <si>
    <t>rework threshold determines usefulness</t>
  </si>
  <si>
    <t>manual building may be preferable to review</t>
  </si>
  <si>
    <t>best-practice correction required</t>
  </si>
  <si>
    <t>process complexity needs improvement</t>
  </si>
  <si>
    <t>scaffold usefulness depends on required complexity</t>
  </si>
  <si>
    <t>best practices should guide generation</t>
  </si>
  <si>
    <t>working artifact demonstrates feasibility</t>
  </si>
  <si>
    <t>Description</t>
  </si>
  <si>
    <t>Codes</t>
  </si>
  <si>
    <t>Input quality and project context</t>
  </si>
  <si>
    <t>Observations about the requirements and contextual information needed to generate useful Mendix applications, including tickets, acceptance criteria, examples, customer context, and project-specific conventions.</t>
  </si>
  <si>
    <t>examples as generation context; input context needed for generation; requirements contain more than user-story sentence; acceptance criteria support testability; project-specific interpretation freedom; input quality determines output quality; input specificity reduces interpretation; project-specific conventions</t>
  </si>
  <si>
    <t>Human control and intermediate review</t>
  </si>
  <si>
    <t>Observations about the need for developer control, steering, validation, previewing, and reviewing intermediate outputs before or during generation.</t>
  </si>
  <si>
    <t>developer control over generation; intermediate outputs unclear to developer; low-code interaction should remain intuitive; intermediate validation is useful; review influence must be clear; developer steering is useful; plan is more understandable than PV/VN outputs; plan review can become too complex; plan supports pre-build correction; reprompting preferred for structural mismatch; fine-grained edits belong in the Modeler; plan useful for high-level review; preview reduces wasted generation time; human oversight remains necessary</t>
  </si>
  <si>
    <t>Domain model and data foundation</t>
  </si>
  <si>
    <t>Observations about master data, entities, associations, grouping, reuse, and the role of the domain model as the foundation for the generated application.</t>
  </si>
  <si>
    <t>domain model and master data as foundation; process depends on data model; associations and entity links need improvement; entity reuse/generalization preferred; domain model grouping could improve</t>
  </si>
  <si>
    <t>Mendix convention alignment and maintainability</t>
  </si>
  <si>
    <t>Observations about professional Mendix practices, naming conventions, folder organization, annotations, documentation, traceability, and maintainability of the generated model.</t>
  </si>
  <si>
    <t>documentation and traceability needed; Mendix naming conventions expected; microflow layout/readability convention followed; folder organization needed for scalability; best practices should guide generation; best-practice correction required</t>
  </si>
  <si>
    <t>Process, workflow, and logic quality</t>
  </si>
  <si>
    <t>Observations about microflows, workflows, process behavior, validation logic, Workflow Commons, duplicated logic, and the ability to generate more complex application behavior.</t>
  </si>
  <si>
    <t>staged generation preferred; AI struggles with cross-artifact dependencies; generated microflow logic incorrect; useful microflow scaffold; workflow concept correctly identified; workflow user assignment partly correct; workflows should be controlled through microflows; workflow is basic but acceptable; Workflow Commons adds practical value; parameterization reduces duplicate flows; validation/decision logic missing; process complexity needs improvement; scaffold usefulness depends on required complexity</t>
  </si>
  <si>
    <t>Security and access control</t>
  </si>
  <si>
    <t>Observations about roles, entity access, least-privilege principles, security risks, and whether security should be generated or configured manually.</t>
  </si>
  <si>
    <t>security is critical for app correctness; direct page actions create security/control risks; least-privilege security needed; security setup remains human-sensitive</t>
  </si>
  <si>
    <t>Development handoff and adoption feasibility</t>
  </si>
  <si>
    <t>Observations about whether the generated output is useful as a starting point, the amount of rework needed, whether manual development may be preferable, and the broader feasibility of adopting the pipeline in practice.</t>
  </si>
  <si>
    <t>high-level fit determines usefulness; page scaffold has limited value; pages should be generated selectively; navigation issues are minor fixes; concept promising but immature; rework threshold determines usefulness; manual building may be preferable to review; working artifact demonstrates feasibility</t>
  </si>
  <si>
    <t>The expert states that developers need influence over what the generator produces or how generation is steered.</t>
  </si>
  <si>
    <t>Use when the comment concerns control, steering, or influence over generated output.</t>
  </si>
  <si>
    <t>Exclude comments only about reviewing finished artifacts without influence.</t>
  </si>
  <si>
    <t>Ik denk dat ik initieel wel iets van controle zou willen hebben.</t>
  </si>
  <si>
    <t>The expert suggests using example apps, existing projects, or examples as context for generation.</t>
  </si>
  <si>
    <t>Use when examples/reference apps are proposed as input or guidance.</t>
  </si>
  <si>
    <t>Exclude generic comments about clearer requirements without examples.</t>
  </si>
  <si>
    <t>Misschien dat je iets van voorbeeldapps erin zou kunnen gooien.</t>
  </si>
  <si>
    <t>The expert notes that practices differ between companies, clients, or projects.</t>
  </si>
  <si>
    <t>Use when conventions, setup, or expectations vary by organization or project.</t>
  </si>
  <si>
    <t>Exclude general best-practice comments not tied to context variation.</t>
  </si>
  <si>
    <t>Tussen bedrijven kan het heel erg verschillen hoe ze Mendix gebruiken.</t>
  </si>
  <si>
    <t>The expert says the generated output is useful only if its broad structure matches developer expectations.</t>
  </si>
  <si>
    <t>Use when usefulness depends on high-level alignment with expected app structure.</t>
  </si>
  <si>
    <t>Exclude small corrections or low-level editing comments.</t>
  </si>
  <si>
    <t>Als het in grote lijnen al niet overeenkomt... dan houdt het snel op.</t>
  </si>
  <si>
    <t>The expert says additional context is needed for the generator to produce useful output.</t>
  </si>
  <si>
    <t>Use when context beyond basic user stories is needed.</t>
  </si>
  <si>
    <t>Exclude comments specifically about examples, acceptance criteria, or conventions when those are more precise.</t>
  </si>
  <si>
    <t>Dat je daar iets van context aan kan geven.</t>
  </si>
  <si>
    <t>The expert treats master data, data structures, and the domain model as the foundation of the app.</t>
  </si>
  <si>
    <t>Use when data, master data, entities, relationships, or domain model are described as the starting point.</t>
  </si>
  <si>
    <t>Exclude comments about specific domain model defects such as missing associations.</t>
  </si>
  <si>
    <t>The expert prefers building the application in stages, from foundation to specific functionality.</t>
  </si>
  <si>
    <t>Use when generation or development should proceed stepwise.</t>
  </si>
  <si>
    <t>Exclude comments about rerunning or reprompting after failure.</t>
  </si>
  <si>
    <t>Je zou het waarschijnlijk stapsgewijs willen opbouwen.</t>
  </si>
  <si>
    <t>The expert states that processes require underlying data/master data/domain model structures.</t>
  </si>
  <si>
    <t>Use when process generation is described as dependent on data structures.</t>
  </si>
  <si>
    <t>Exclude general statements that the domain model is important.</t>
  </si>
  <si>
    <t>Je kan niet direct eerst een proces gaan bouwen zonder masterdata.</t>
  </si>
  <si>
    <t>The expert suggests AI may struggle with dependencies between generated parts or larger conceptual relationships.</t>
  </si>
  <si>
    <t>Use when AI difficulty is tied to dependencies or separating parts of the app.</t>
  </si>
  <si>
    <t>Exclude concrete artifact defects such as a wrong flow or missing association.</t>
  </si>
  <si>
    <t>Voor een AI is dat misschien soms lastig... omdat je dan minder afhankelijkheden hebt.</t>
  </si>
  <si>
    <t>The expert notes that real tickets/user stories contain more detail than a single user-story sentence.</t>
  </si>
  <si>
    <t>Use when the comment contrasts minimal user stories with richer real-world tickets.</t>
  </si>
  <si>
    <t>Exclude comments specifically about acceptance criteria unless that is the main point.</t>
  </si>
  <si>
    <t>Tickets... zijn altijd meer dan die ene zin.</t>
  </si>
  <si>
    <t>The expert says acceptance criteria help clarify expected behavior and enable testing.</t>
  </si>
  <si>
    <t>Use when acceptance criteria are linked to clarity, interpretation, or testing.</t>
  </si>
  <si>
    <t>Exclude broader input-quality comments without acceptance criteria.</t>
  </si>
  <si>
    <t>Als ontwikkelaars kun je het anders ook niet testen.</t>
  </si>
  <si>
    <t>The expert notes that some clients allow more interpretation freedom than others.</t>
  </si>
  <si>
    <t>Use when the amount of developer/generator interpretation depends on the client.</t>
  </si>
  <si>
    <t>Exclude general project-specific convention comments.</t>
  </si>
  <si>
    <t>Bij de ene klant heb je daar iets meer vrijheid in dan bij de andere.</t>
  </si>
  <si>
    <t>The expert links the quality of requirements/tickets to the quality of generated applications.</t>
  </si>
  <si>
    <t>Use when input quality is said to strongly affect output quality.</t>
  </si>
  <si>
    <t>Exclude comments about one specific missing input type.</t>
  </si>
  <si>
    <t>De kwaliteit van de tickets is echt van heel groot belang.</t>
  </si>
  <si>
    <t>The expert says clearer or more bounded input reduces unwanted interpretation.</t>
  </si>
  <si>
    <t>Use when specificity, boundaries, or clearer scope reduce ambiguity.</t>
  </si>
  <si>
    <t>Exclude comments only about using examples or acceptance criteria.</t>
  </si>
  <si>
    <t>Hoe duidelijker je bent, hoe groter de kans dat je krijgt wat je wil.</t>
  </si>
  <si>
    <t>The expert finds intermediate outputs such as PV/VN difficult to understand or act on.</t>
  </si>
  <si>
    <t>Use when intermediate artifacts are not clearly usable for the developer.</t>
  </si>
  <si>
    <t>Exclude comments about the plan being too large or complex.</t>
  </si>
  <si>
    <t>Ik weet niet meteen precies wat ik hiermee kan of moet doen.</t>
  </si>
  <si>
    <t>The expert says review or generation interfaces should preserve the intuitive nature of low-code development.</t>
  </si>
  <si>
    <t>Use when usability/intuitiveness of the review interface is central.</t>
  </si>
  <si>
    <t>Exclude comments only about artifact quality.</t>
  </si>
  <si>
    <t>De kracht van low code is dat het redelijk intuïtief is.</t>
  </si>
  <si>
    <t>The expert values a control or validation step before generation/execution.</t>
  </si>
  <si>
    <t>Use when review is framed as verification that the generator will make the right thing.</t>
  </si>
  <si>
    <t>Exclude comments about editing the plan in detail.</t>
  </si>
  <si>
    <t>Een controlestap om te verifiëren... is waarschijnlijk heel handig.</t>
  </si>
  <si>
    <t>The expert questions what the developer can actually change during review.</t>
  </si>
  <si>
    <t>Use when the issue is unclear agency or unclear effect of reviewing.</t>
  </si>
  <si>
    <t>Exclude general comments that review is useful.</t>
  </si>
  <si>
    <t>Ik weet niet precies wat ik hierin zou kunnen aanpassen.</t>
  </si>
  <si>
    <t>The expert says developer steering would be useful if it can guide generation.</t>
  </si>
  <si>
    <t>Use when additional steering or direction from the developer is considered valuable.</t>
  </si>
  <si>
    <t>Exclude passive review comments.</t>
  </si>
  <si>
    <t>Als je een hoop richting kan geven... is dat alleen maar handig.</t>
  </si>
  <si>
    <t>The expert finds the plan more meaningful or understandable than earlier intermediate outputs.</t>
  </si>
  <si>
    <t>Use when comparing the plan positively to PV/VN outputs.</t>
  </si>
  <si>
    <t>Exclude general plan usefulness not involving comparison.</t>
  </si>
  <si>
    <t>Dit spreekt voor mij meer tot de verbeelding dan wat je eerder liet zien.</t>
  </si>
  <si>
    <t>The expert says reviewing the plan may involve too much information or recreate Mendix configuration complexity.</t>
  </si>
  <si>
    <t>Use when plan review is seen as too large, complex, or similar to configuring Mendix directly.</t>
  </si>
  <si>
    <t>Exclude comments about useful high-level plan review.</t>
  </si>
  <si>
    <t>Dit is wel echt een berg aan informatie.</t>
  </si>
  <si>
    <t>The expert says the plan could allow correcting entities, associations, or other artifacts before build.</t>
  </si>
  <si>
    <t>Use when pre-build correction of generated structure is described as useful.</t>
  </si>
  <si>
    <t>Exclude comments saying edits should happen in the Modeler.</t>
  </si>
  <si>
    <t>Dat je dat van tevoren kan aanpassen.</t>
  </si>
  <si>
    <t>The expert prefers regenerating/reprompting when the generated high-level structure is wrong.</t>
  </si>
  <si>
    <t>Use when high-level mismatch should be solved by generating again.</t>
  </si>
  <si>
    <t>Exclude small manual changes.</t>
  </si>
  <si>
    <t>Dan zou ik eerder zeggen: ik doe het gewoon nog eens.</t>
  </si>
  <si>
    <t>The expert says small detailed edits are better made directly in Mendix.</t>
  </si>
  <si>
    <t>Use when detailed changes are considered more intuitive in the Modeler.</t>
  </si>
  <si>
    <t>Exclude comments about reviewing broad plan direction.</t>
  </si>
  <si>
    <t>Die kun je bijna beter direct in de modeler doen.</t>
  </si>
  <si>
    <t>The expert says the plan is useful for checking broad direction or whether the generated app is approximately right.</t>
  </si>
  <si>
    <t>Use when plan value is high-level review rather than detailed editing.</t>
  </si>
  <si>
    <t>Exclude detailed correction comments.</t>
  </si>
  <si>
    <t>De grote lijnen kunnen volgen... dat is de kracht hiervan.</t>
  </si>
  <si>
    <t>The expert says previewing generation output can prevent wasted time.</t>
  </si>
  <si>
    <t>Use when preview is valuable because generation takes time.</t>
  </si>
  <si>
    <t>Exclude general review usefulness.</t>
  </si>
  <si>
    <t>Als dit telkens vijf minuten scheelt, dan levert dat veel op.</t>
  </si>
  <si>
    <t>The expert identifies missing, unclear, over-centralized, or weak links between entities.</t>
  </si>
  <si>
    <t>Use for association readability, loose entities, or weak domain-model relationships.</t>
  </si>
  <si>
    <t>Exclude entity reuse/generalization issues.</t>
  </si>
  <si>
    <t>Losse entiteiten... niet echt netjes gelinkt.</t>
  </si>
  <si>
    <t>The expert says generated separate entities should be represented through reuse, enums, or more compact structures.</t>
  </si>
  <si>
    <t>Use when an entity structure is too fragmented or should use enum/generalization.</t>
  </si>
  <si>
    <t>Exclude missing association comments.</t>
  </si>
  <si>
    <t>Ik zou het in één entiteit gooien met een enumwaarde.</t>
  </si>
  <si>
    <t>The expert frames security/rights as essential for whether the app works correctly.</t>
  </si>
  <si>
    <t>Use when security is described as fundamental to app correctness.</t>
  </si>
  <si>
    <t>Exclude specific least-privilege or entity-access suggestions.</t>
  </si>
  <si>
    <t>The expert says the domain model has some structure but could be grouped better.</t>
  </si>
  <si>
    <t>Use when the model organization/grouping inside the domain model is discussed.</t>
  </si>
  <si>
    <t>Exclude folder organization of project files.</t>
  </si>
  <si>
    <t>Het kan nog wel meer in groepjes worden ingedeeld.</t>
  </si>
  <si>
    <t>The expert says generated artifacts should explain their purpose or trace back to intent/user stories.</t>
  </si>
  <si>
    <t>Use for annotations, documentation, generated intent, or artifact purpose.</t>
  </si>
  <si>
    <t>Exclude naming conventions or folder organization.</t>
  </si>
  <si>
    <t>Annotaties zijn eigenlijk de manier om dingen uit te leggen.</t>
  </si>
  <si>
    <t>The expert expects standard Mendix naming conventions such as prefixes and ACT/SUB-style names.</t>
  </si>
  <si>
    <t>Use for prefixes, microflow names, and naming best practices.</t>
  </si>
  <si>
    <t>Exclude folder structure or documentation comments.</t>
  </si>
  <si>
    <t>ACT_FreelanceTeacher_Approval zou de goede naamconventie zijn.</t>
  </si>
  <si>
    <t>The expert identifies generated flow behavior as logically wrong or unusable.</t>
  </si>
  <si>
    <t>Use when a generated microflow retrieves, saves, or handles data incorrectly.</t>
  </si>
  <si>
    <t>Exclude missing naming conventions or generic complexity comments.</t>
  </si>
  <si>
    <t>Deze flow mist wat dat betreft een beetje de plank.</t>
  </si>
  <si>
    <t>The expert notes a positive layout/readability convention in generated microflows.</t>
  </si>
  <si>
    <t>Use when microflow layout follows expected conventions.</t>
  </si>
  <si>
    <t>Exclude naming or logic quality.</t>
  </si>
  <si>
    <t>Parameters staan linksboven; dat maakt het leesbaarder.</t>
  </si>
  <si>
    <t>The expert says a generated microflow scaffold, name, or intent can still help further development.</t>
  </si>
  <si>
    <t>Use when partial flow generation is useful as a starting point.</t>
  </si>
  <si>
    <t>Exclude fully incorrect flow logic.</t>
  </si>
  <si>
    <t>Een voorzetje... is wel een stap in de goede richting.</t>
  </si>
  <si>
    <t>The expert says generated artifacts need folder organization to remain navigable in larger apps.</t>
  </si>
  <si>
    <t>Use for folders, subfolders, or finding artifacts in larger apps.</t>
  </si>
  <si>
    <t>Exclude domain model grouping.</t>
  </si>
  <si>
    <t>Bij grotere apps... dan kun je niks meer vinden.</t>
  </si>
  <si>
    <t>The expert says the generator correctly recognized that something should be a workflow.</t>
  </si>
  <si>
    <t>Use when workflow identification is praised.</t>
  </si>
  <si>
    <t>Exclude workflow implementation quality comments.</t>
  </si>
  <si>
    <t>The expert says the workflow user assignment or System.User handling appears partly right.</t>
  </si>
  <si>
    <t>Use when workflow assignment/security is partially correct.</t>
  </si>
  <si>
    <t>Exclude general security comments.</t>
  </si>
  <si>
    <t>Het ziet er op zich wel goed uit... met System.User.</t>
  </si>
  <si>
    <t>The expert says workflows should be started or controlled via microflows for control/context reasons.</t>
  </si>
  <si>
    <t>Use when workflow start/control depends on microflows.</t>
  </si>
  <si>
    <t>Exclude general workflow usefulness comments.</t>
  </si>
  <si>
    <t>The expert warns that direct create/delete/page actions can expose too much access or bypass control.</t>
  </si>
  <si>
    <t>Use when direct buttons/actions are risky compared with microflows.</t>
  </si>
  <si>
    <t>Exclude general security minimality comments.</t>
  </si>
  <si>
    <t>Best practice is om dat niet zomaar te doen.</t>
  </si>
  <si>
    <t>The expert judges a workflow as not wrong, but very basic.</t>
  </si>
  <si>
    <t>Use when a generated workflow is acceptable but limited.</t>
  </si>
  <si>
    <t>Exclude strongly negative process complexity comments.</t>
  </si>
  <si>
    <t>Het ziet er niet verkeerd uit; het is gewoon heel basic.</t>
  </si>
  <si>
    <t>The expert says Workflow Commons provides important standard workflow functionality.</t>
  </si>
  <si>
    <t>Use when Workflow Commons is described as valuable or necessary.</t>
  </si>
  <si>
    <t>Exclude generic workflow implementation comments.</t>
  </si>
  <si>
    <t>Zonder die module haal je er bij lange na niet zoveel uit.</t>
  </si>
  <si>
    <t>The expert says multiple flows could be replaced by one parameterized flow.</t>
  </si>
  <si>
    <t>Use when duplication can be reduced through parameters.</t>
  </si>
  <si>
    <t>Exclude unrelated validation or decision comments.</t>
  </si>
  <si>
    <t>Dan heb je maar één flow nodig.</t>
  </si>
  <si>
    <t>The expert notes missing validation, missing decisions, or missing checks before committing/processing.</t>
  </si>
  <si>
    <t>Use for absent validations, decisions, XPath, or status checks.</t>
  </si>
  <si>
    <t>Exclude general comments that flows are too generic.</t>
  </si>
  <si>
    <t>The expert says generated pages provide some value but are basic or often easier to adjust manually.</t>
  </si>
  <si>
    <t>Use when page scaffolds are useful but limited.</t>
  </si>
  <si>
    <t>Exclude comments about whether pages should exist at all.</t>
  </si>
  <si>
    <t>Het is fijn als er al iets staat... maar soms is het makkelijker zelf.</t>
  </si>
  <si>
    <t>The expert says not every entity needs a page and page design depends on data use.</t>
  </si>
  <si>
    <t>Use when page generation should depend on actual use or data needs.</t>
  </si>
  <si>
    <t>Exclude minor page/navigation fixes.</t>
  </si>
  <si>
    <t>Niet voor elke entiteit een new/edit page.</t>
  </si>
  <si>
    <t>The expert treats navigation/icon issues as minor, easily corrected details.</t>
  </si>
  <si>
    <t>Use for low-impact navigation/icon fixes.</t>
  </si>
  <si>
    <t>Exclude deeper page structure issues.</t>
  </si>
  <si>
    <t>Een icon toevoegen is maar een kleine moeite.</t>
  </si>
  <si>
    <t>The expert says generated security should start from minimal access and avoid overexposure.</t>
  </si>
  <si>
    <t>Use for production security, entity access, minimal rights, or too much access.</t>
  </si>
  <si>
    <t>Exclude comments that manual security may be preferable.</t>
  </si>
  <si>
    <t>Je wil nooit meer toevoegen dan noodzakelijk.</t>
  </si>
  <si>
    <t>The expert says security can be manually configured and may benefit from conscious human decisions.</t>
  </si>
  <si>
    <t>Use when manual security setup is acceptable or preferable.</t>
  </si>
  <si>
    <t>Exclude comments about specific generated security errors.</t>
  </si>
  <si>
    <t>Het is best nuttig om security zelf te doen.</t>
  </si>
  <si>
    <t>The expert says humans must continue thinking critically despite agentic or automated generation.</t>
  </si>
  <si>
    <t>Use for broad statements about human involvement in AI/Mendix generation.</t>
  </si>
  <si>
    <t>Exclude specific review-interface comments.</t>
  </si>
  <si>
    <t>Dat je er als mens over moet blijven nadenken staat vast.</t>
  </si>
  <si>
    <t>The expert says the concept works in principle but needs substantial development before practical use.</t>
  </si>
  <si>
    <t>Use for broad feasibility judgments that are positive but not ready.</t>
  </si>
  <si>
    <t>Exclude specific artifact defects.</t>
  </si>
  <si>
    <t>Het concept wel, maar er moet veel gebeuren.</t>
  </si>
  <si>
    <t>The expert says usefulness depends on whether correcting the output takes less effort than rebuilding.</t>
  </si>
  <si>
    <t>Use when adoption depends on rework versus manual build effort.</t>
  </si>
  <si>
    <t>Exclude individual best-practice corrections.</t>
  </si>
  <si>
    <t>Minder moeite om het zelf goed te zetten dan meteen zelf bouwen.</t>
  </si>
  <si>
    <t>The expert says building manually may be more attractive than reviewing/fixing generated output.</t>
  </si>
  <si>
    <t>Use when the expert prefers building over checking generated work.</t>
  </si>
  <si>
    <t>Exclude general rework threshold comments.</t>
  </si>
  <si>
    <t>Zelf vind ik bouwen leuker dan dingen nakijken.</t>
  </si>
  <si>
    <t>The expert says generated output needs substantial correction to align with professional best practices.</t>
  </si>
  <si>
    <t>Use when the issue is work needed to make output professionally acceptable.</t>
  </si>
  <si>
    <t>Exclude naming-specific or folder-specific convention comments.</t>
  </si>
  <si>
    <t>Hier zou ik nog zoveel moeten doen om het volgens best practices erin te zetten.</t>
  </si>
  <si>
    <t>The expert says the generator needs better understanding of complex processes, flows, or concepts.</t>
  </si>
  <si>
    <t>Use for generic flows, complex process dependencies, or insufficient behavioral reasoning.</t>
  </si>
  <si>
    <t>Exclude a specific incorrect flow when that is better coded as microflow logic incorrect.</t>
  </si>
  <si>
    <t>Meer inzicht in hoe dingen in je processen zouden moeten lopen.</t>
  </si>
  <si>
    <t>The expert says the output may work as a scaffold, but only if the required scaffold is not already complex.</t>
  </si>
  <si>
    <t>Use when scaffold value depends on how much complexity is needed in the starting point.</t>
  </si>
  <si>
    <t>Exclude general rework-effort comments.</t>
  </si>
  <si>
    <t>Het is bedoeld als opzet, maar als daar al meer complexiteit nodig is...</t>
  </si>
  <si>
    <t>The expert says Mendix and company best practices should guide generated output.</t>
  </si>
  <si>
    <t>Use when professional conventions or accumulated company knowledge should inform generation.</t>
  </si>
  <si>
    <t>Exclude project-specific variation unless flexibility is the main point.</t>
  </si>
  <si>
    <t>Best practices zijn belangrijk... daar is veel kennis in verzameld.</t>
  </si>
  <si>
    <t>The expert says producing any workable generated app is already a meaningful achievement.</t>
  </si>
  <si>
    <t>Use for positive feasibility statements about producing a working artifact.</t>
  </si>
  <si>
    <t>Exclude claims that the output is practically ready.</t>
  </si>
  <si>
    <t>Dat er überhaupt iets werkbaars uitkomt is al een hele prestatie.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</si>
</sst>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1" fontId="0" fillId="0" borderId="0" xfId="0" applyNumberFormat="1"/>
    <xf numFmtId="0" fontId="1" fillId="0" borderId="0" xfId="0" applyFont="1"/>
    <xf numFmtId="0" fontId="2" fillId="0" borderId="0" xfId="0" applyFont="1"/>
    <xf numFmtId="0" fontId="3" fillId="0" borderId="0" xfId="0" applyFont="1"/>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45E7-45B2-7449-A3DB-3C3AA8DA79A3}">
  <dimension ref="A1:I112"/>
  <sheetViews>
    <sheetView topLeftCell="E1" zoomScale="110" workbookViewId="0">
      <pane ySplit="840" topLeftCell="A46" activePane="bottomLeft"/>
      <selection activeCell="D1" sqref="D1"/>
      <selection pane="bottomLeft" activeCell="G65" sqref="G65"/>
    </sheetView>
  </sheetViews>
  <sheetFormatPr baseColWidth="10" defaultRowHeight="16" x14ac:dyDescent="0.2"/>
  <cols>
    <col min="1" max="1" width="21.83203125" bestFit="1" customWidth="1"/>
    <col min="2" max="2" width="11.33203125" customWidth="1"/>
    <col min="3" max="3" width="16" bestFit="1" customWidth="1"/>
    <col min="4" max="4" width="8.6640625" bestFit="1" customWidth="1"/>
    <col min="5" max="5" width="91.83203125" customWidth="1"/>
    <col min="6" max="6" width="35.83203125" bestFit="1" customWidth="1"/>
    <col min="7" max="7" width="44.33203125" bestFit="1" customWidth="1"/>
    <col min="8" max="8" width="41.33203125" bestFit="1" customWidth="1"/>
    <col min="9" max="9" width="10.6640625" bestFit="1" customWidth="1"/>
  </cols>
  <sheetData>
    <row r="1" spans="1:9" s="2" customFormat="1" x14ac:dyDescent="0.2">
      <c r="A1" s="2" t="s">
        <v>0</v>
      </c>
      <c r="B1" s="2" t="s">
        <v>1</v>
      </c>
      <c r="C1" s="2" t="s">
        <v>2</v>
      </c>
      <c r="D1" s="2" t="s">
        <v>53</v>
      </c>
      <c r="E1" s="2" t="s">
        <v>3</v>
      </c>
      <c r="F1" s="2" t="s">
        <v>4</v>
      </c>
      <c r="G1" s="2" t="s">
        <v>5</v>
      </c>
      <c r="H1" s="2" t="s">
        <v>6</v>
      </c>
      <c r="I1" s="2" t="s">
        <v>7</v>
      </c>
    </row>
    <row r="2" spans="1:9" x14ac:dyDescent="0.2">
      <c r="A2" t="s">
        <v>8</v>
      </c>
      <c r="B2" s="1">
        <v>2.0833333333333335E-4</v>
      </c>
      <c r="C2" t="s">
        <v>26</v>
      </c>
      <c r="D2">
        <v>1</v>
      </c>
      <c r="E2" t="s">
        <v>17</v>
      </c>
      <c r="F2" t="s">
        <v>61</v>
      </c>
      <c r="G2" t="s">
        <v>264</v>
      </c>
      <c r="H2" t="str">
        <f>_xlfn.XLOOKUP(G2,final_code_definitions!A:A,final_code_definitions!F:F,"")</f>
        <v>Human control and intermediate review</v>
      </c>
      <c r="I2" t="s">
        <v>10</v>
      </c>
    </row>
    <row r="3" spans="1:9" x14ac:dyDescent="0.2">
      <c r="A3" t="s">
        <v>8</v>
      </c>
      <c r="B3" s="1">
        <v>3.4722222222222224E-4</v>
      </c>
      <c r="C3" t="s">
        <v>26</v>
      </c>
      <c r="D3">
        <v>1</v>
      </c>
      <c r="E3" t="s">
        <v>18</v>
      </c>
      <c r="F3" t="s">
        <v>212</v>
      </c>
      <c r="G3" t="s">
        <v>265</v>
      </c>
      <c r="H3" t="str">
        <f>_xlfn.XLOOKUP(G3,final_code_definitions!A:A,final_code_definitions!F:F,"")</f>
        <v>Input quality and project context</v>
      </c>
      <c r="I3" t="s">
        <v>10</v>
      </c>
    </row>
    <row r="4" spans="1:9" x14ac:dyDescent="0.2">
      <c r="A4" t="s">
        <v>8</v>
      </c>
      <c r="B4" s="1">
        <v>4.861111111111111E-4</v>
      </c>
      <c r="C4" t="s">
        <v>26</v>
      </c>
      <c r="D4">
        <v>1</v>
      </c>
      <c r="E4" t="s">
        <v>19</v>
      </c>
      <c r="F4" t="s">
        <v>11</v>
      </c>
      <c r="G4" t="s">
        <v>266</v>
      </c>
      <c r="H4" t="str">
        <f>_xlfn.XLOOKUP(G4,final_code_definitions!A:A,final_code_definitions!F:F,"")</f>
        <v>Input quality and project context</v>
      </c>
      <c r="I4" t="s">
        <v>9</v>
      </c>
    </row>
    <row r="5" spans="1:9" x14ac:dyDescent="0.2">
      <c r="A5" t="s">
        <v>8</v>
      </c>
      <c r="B5" s="1">
        <v>6.134259259259259E-4</v>
      </c>
      <c r="C5" t="s">
        <v>26</v>
      </c>
      <c r="D5">
        <v>1</v>
      </c>
      <c r="E5" t="s">
        <v>20</v>
      </c>
      <c r="F5" t="s">
        <v>62</v>
      </c>
      <c r="G5" t="s">
        <v>62</v>
      </c>
      <c r="H5" t="str">
        <f>_xlfn.XLOOKUP(G5,final_code_definitions!A:A,final_code_definitions!F:F,"")</f>
        <v>Development handoff and adoption feasibility</v>
      </c>
      <c r="I5" t="s">
        <v>12</v>
      </c>
    </row>
    <row r="6" spans="1:9" x14ac:dyDescent="0.2">
      <c r="A6" t="s">
        <v>8</v>
      </c>
      <c r="B6" s="1">
        <v>7.6388888888888893E-4</v>
      </c>
      <c r="C6" t="s">
        <v>26</v>
      </c>
      <c r="D6">
        <v>1</v>
      </c>
      <c r="E6" t="s">
        <v>21</v>
      </c>
      <c r="F6" t="s">
        <v>212</v>
      </c>
      <c r="G6" t="s">
        <v>265</v>
      </c>
      <c r="H6" t="str">
        <f>_xlfn.XLOOKUP(G6,final_code_definitions!A:A,final_code_definitions!F:F,"")</f>
        <v>Input quality and project context</v>
      </c>
      <c r="I6" t="s">
        <v>10</v>
      </c>
    </row>
    <row r="7" spans="1:9" x14ac:dyDescent="0.2">
      <c r="A7" t="s">
        <v>8</v>
      </c>
      <c r="B7" s="1">
        <v>7.6388888888888893E-4</v>
      </c>
      <c r="C7" t="s">
        <v>26</v>
      </c>
      <c r="D7">
        <v>1</v>
      </c>
      <c r="E7" t="s">
        <v>48</v>
      </c>
      <c r="F7" t="s">
        <v>63</v>
      </c>
      <c r="G7" t="s">
        <v>267</v>
      </c>
      <c r="H7" t="str">
        <f>_xlfn.XLOOKUP(G7,final_code_definitions!A:A,final_code_definitions!F:F,"")</f>
        <v>Input quality and project context</v>
      </c>
      <c r="I7" t="s">
        <v>10</v>
      </c>
    </row>
    <row r="8" spans="1:9" x14ac:dyDescent="0.2">
      <c r="A8" t="s">
        <v>8</v>
      </c>
      <c r="B8" s="1">
        <v>1.5162037037037036E-3</v>
      </c>
      <c r="C8" t="s">
        <v>26</v>
      </c>
      <c r="D8">
        <v>2</v>
      </c>
      <c r="E8" t="s">
        <v>22</v>
      </c>
      <c r="F8" t="s">
        <v>64</v>
      </c>
      <c r="G8" t="s">
        <v>268</v>
      </c>
      <c r="H8" t="str">
        <f>_xlfn.XLOOKUP(G8,final_code_definitions!A:A,final_code_definitions!F:F,"")</f>
        <v>Domain model and data foundation</v>
      </c>
      <c r="I8" t="s">
        <v>13</v>
      </c>
    </row>
    <row r="9" spans="1:9" x14ac:dyDescent="0.2">
      <c r="A9" t="s">
        <v>8</v>
      </c>
      <c r="B9" s="1">
        <v>1.5162037037037036E-3</v>
      </c>
      <c r="C9" t="s">
        <v>26</v>
      </c>
      <c r="D9">
        <v>2</v>
      </c>
      <c r="E9" t="s">
        <v>23</v>
      </c>
      <c r="F9" t="s">
        <v>65</v>
      </c>
      <c r="G9" t="s">
        <v>14</v>
      </c>
      <c r="H9" t="str">
        <f>_xlfn.XLOOKUP(G9,final_code_definitions!A:A,final_code_definitions!F:F,"")</f>
        <v>Process, workflow, and logic quality</v>
      </c>
      <c r="I9" t="s">
        <v>10</v>
      </c>
    </row>
    <row r="10" spans="1:9" x14ac:dyDescent="0.2">
      <c r="A10" t="s">
        <v>8</v>
      </c>
      <c r="B10" s="1">
        <v>1.5162037037037036E-3</v>
      </c>
      <c r="C10" t="s">
        <v>26</v>
      </c>
      <c r="D10">
        <v>2</v>
      </c>
      <c r="E10" s="5" t="s">
        <v>54</v>
      </c>
      <c r="F10" t="s">
        <v>66</v>
      </c>
      <c r="G10" t="s">
        <v>268</v>
      </c>
      <c r="H10" t="str">
        <f>_xlfn.XLOOKUP(G10,final_code_definitions!A:A,final_code_definitions!F:F,"")</f>
        <v>Domain model and data foundation</v>
      </c>
      <c r="I10" t="s">
        <v>13</v>
      </c>
    </row>
    <row r="11" spans="1:9" x14ac:dyDescent="0.2">
      <c r="A11" t="s">
        <v>8</v>
      </c>
      <c r="B11" s="1">
        <v>1.7824074074074075E-3</v>
      </c>
      <c r="C11" t="s">
        <v>26</v>
      </c>
      <c r="D11">
        <v>2</v>
      </c>
      <c r="E11" s="5" t="s">
        <v>55</v>
      </c>
      <c r="F11" t="s">
        <v>67</v>
      </c>
      <c r="G11" t="s">
        <v>14</v>
      </c>
      <c r="H11" t="str">
        <f>_xlfn.XLOOKUP(G11,final_code_definitions!A:A,final_code_definitions!F:F,"")</f>
        <v>Process, workflow, and logic quality</v>
      </c>
      <c r="I11" t="s">
        <v>13</v>
      </c>
    </row>
    <row r="12" spans="1:9" x14ac:dyDescent="0.2">
      <c r="A12" t="s">
        <v>8</v>
      </c>
      <c r="B12" s="1">
        <v>2.2685185185185187E-3</v>
      </c>
      <c r="C12" t="s">
        <v>26</v>
      </c>
      <c r="D12">
        <v>3</v>
      </c>
      <c r="E12" t="s">
        <v>57</v>
      </c>
      <c r="F12" t="s">
        <v>68</v>
      </c>
      <c r="G12" t="s">
        <v>268</v>
      </c>
      <c r="H12" t="str">
        <f>_xlfn.XLOOKUP(G12,final_code_definitions!A:A,final_code_definitions!F:F,"")</f>
        <v>Domain model and data foundation</v>
      </c>
      <c r="I12" t="s">
        <v>13</v>
      </c>
    </row>
    <row r="13" spans="1:9" x14ac:dyDescent="0.2">
      <c r="A13" t="s">
        <v>8</v>
      </c>
      <c r="B13" s="1">
        <v>2.2685185185185187E-3</v>
      </c>
      <c r="C13" t="s">
        <v>26</v>
      </c>
      <c r="D13">
        <v>3</v>
      </c>
      <c r="E13" t="s">
        <v>58</v>
      </c>
      <c r="F13" t="s">
        <v>68</v>
      </c>
      <c r="G13" t="s">
        <v>268</v>
      </c>
      <c r="H13" t="str">
        <f>_xlfn.XLOOKUP(G13,final_code_definitions!A:A,final_code_definitions!F:F,"")</f>
        <v>Domain model and data foundation</v>
      </c>
      <c r="I13" t="s">
        <v>13</v>
      </c>
    </row>
    <row r="14" spans="1:9" x14ac:dyDescent="0.2">
      <c r="A14" t="s">
        <v>8</v>
      </c>
      <c r="B14" s="1">
        <v>2.5925925925925925E-3</v>
      </c>
      <c r="C14" t="s">
        <v>26</v>
      </c>
      <c r="D14">
        <v>3</v>
      </c>
      <c r="E14" t="s">
        <v>24</v>
      </c>
      <c r="F14" t="s">
        <v>69</v>
      </c>
      <c r="G14" t="s">
        <v>268</v>
      </c>
      <c r="H14" t="str">
        <f>_xlfn.XLOOKUP(G14,final_code_definitions!A:A,final_code_definitions!F:F,"")</f>
        <v>Domain model and data foundation</v>
      </c>
      <c r="I14" t="s">
        <v>13</v>
      </c>
    </row>
    <row r="15" spans="1:9" x14ac:dyDescent="0.2">
      <c r="A15" t="s">
        <v>8</v>
      </c>
      <c r="B15" s="1">
        <v>2.9629629629629628E-3</v>
      </c>
      <c r="C15" t="s">
        <v>26</v>
      </c>
      <c r="D15">
        <v>3</v>
      </c>
      <c r="E15" t="s">
        <v>25</v>
      </c>
      <c r="F15" t="s">
        <v>70</v>
      </c>
      <c r="G15" t="s">
        <v>268</v>
      </c>
      <c r="H15" t="str">
        <f>_xlfn.XLOOKUP(G15,final_code_definitions!A:A,final_code_definitions!F:F,"")</f>
        <v>Domain model and data foundation</v>
      </c>
      <c r="I15" t="s">
        <v>13</v>
      </c>
    </row>
    <row r="16" spans="1:9" x14ac:dyDescent="0.2">
      <c r="A16" t="s">
        <v>8</v>
      </c>
      <c r="B16" s="1">
        <v>3.1134259259259257E-3</v>
      </c>
      <c r="C16" t="s">
        <v>26</v>
      </c>
      <c r="D16">
        <v>3</v>
      </c>
      <c r="E16" t="s">
        <v>59</v>
      </c>
      <c r="F16" t="s">
        <v>71</v>
      </c>
      <c r="G16" t="s">
        <v>16</v>
      </c>
      <c r="H16" t="str">
        <f>_xlfn.XLOOKUP(G16,final_code_definitions!A:A,final_code_definitions!F:F,"")</f>
        <v>Domain model and data foundation</v>
      </c>
      <c r="I16" t="s">
        <v>13</v>
      </c>
    </row>
    <row r="17" spans="1:9" x14ac:dyDescent="0.2">
      <c r="A17" t="s">
        <v>8</v>
      </c>
      <c r="B17" s="1">
        <v>3.2986111111111111E-3</v>
      </c>
      <c r="C17" t="s">
        <v>26</v>
      </c>
      <c r="D17">
        <v>3</v>
      </c>
      <c r="E17" t="s">
        <v>60</v>
      </c>
      <c r="F17" t="s">
        <v>72</v>
      </c>
      <c r="G17" t="s">
        <v>269</v>
      </c>
      <c r="H17" t="str">
        <f>_xlfn.XLOOKUP(G17,final_code_definitions!A:A,final_code_definitions!F:F,"")</f>
        <v>Process, workflow, and logic quality</v>
      </c>
      <c r="I17" t="s">
        <v>9</v>
      </c>
    </row>
    <row r="18" spans="1:9" x14ac:dyDescent="0.2">
      <c r="A18" t="s">
        <v>27</v>
      </c>
      <c r="B18" s="1">
        <v>5.138888888888889E-3</v>
      </c>
      <c r="C18" t="s">
        <v>46</v>
      </c>
      <c r="D18" t="s">
        <v>26</v>
      </c>
      <c r="E18" t="s">
        <v>28</v>
      </c>
      <c r="F18" t="s">
        <v>83</v>
      </c>
      <c r="G18" t="s">
        <v>270</v>
      </c>
      <c r="H18" t="str">
        <f>_xlfn.XLOOKUP(G18,final_code_definitions!A:A,final_code_definitions!F:F,"")</f>
        <v>Input quality and project context</v>
      </c>
      <c r="I18" t="s">
        <v>9</v>
      </c>
    </row>
    <row r="19" spans="1:9" x14ac:dyDescent="0.2">
      <c r="A19" t="s">
        <v>27</v>
      </c>
      <c r="B19" s="1">
        <v>5.3009259259259259E-3</v>
      </c>
      <c r="C19" t="s">
        <v>46</v>
      </c>
      <c r="D19" t="s">
        <v>26</v>
      </c>
      <c r="E19" s="5" t="s">
        <v>74</v>
      </c>
      <c r="F19" t="s">
        <v>84</v>
      </c>
      <c r="G19" t="s">
        <v>271</v>
      </c>
      <c r="H19" t="str">
        <f>_xlfn.XLOOKUP(G19,final_code_definitions!A:A,final_code_definitions!F:F,"")</f>
        <v>Input quality and project context</v>
      </c>
      <c r="I19" t="s">
        <v>10</v>
      </c>
    </row>
    <row r="20" spans="1:9" x14ac:dyDescent="0.2">
      <c r="A20" t="s">
        <v>27</v>
      </c>
      <c r="B20" s="1">
        <v>5.4166666666666669E-3</v>
      </c>
      <c r="C20" t="s">
        <v>46</v>
      </c>
      <c r="D20" t="s">
        <v>26</v>
      </c>
      <c r="E20" t="s">
        <v>29</v>
      </c>
      <c r="F20" t="s">
        <v>85</v>
      </c>
      <c r="G20" t="s">
        <v>271</v>
      </c>
      <c r="H20" t="str">
        <f>_xlfn.XLOOKUP(G20,final_code_definitions!A:A,final_code_definitions!F:F,"")</f>
        <v>Input quality and project context</v>
      </c>
      <c r="I20" t="s">
        <v>10</v>
      </c>
    </row>
    <row r="21" spans="1:9" x14ac:dyDescent="0.2">
      <c r="A21" t="s">
        <v>27</v>
      </c>
      <c r="B21" s="1">
        <v>5.4976851851851853E-3</v>
      </c>
      <c r="C21" t="s">
        <v>46</v>
      </c>
      <c r="D21" t="s">
        <v>26</v>
      </c>
      <c r="E21" t="s">
        <v>76</v>
      </c>
      <c r="F21" t="s">
        <v>86</v>
      </c>
      <c r="G21" t="s">
        <v>272</v>
      </c>
      <c r="H21" t="str">
        <f>_xlfn.XLOOKUP(G21,final_code_definitions!A:A,final_code_definitions!F:F,"")</f>
        <v>Input quality and project context</v>
      </c>
      <c r="I21" t="s">
        <v>9</v>
      </c>
    </row>
    <row r="22" spans="1:9" x14ac:dyDescent="0.2">
      <c r="A22" t="s">
        <v>27</v>
      </c>
      <c r="B22" s="1">
        <v>5.4976851851851853E-3</v>
      </c>
      <c r="C22" t="s">
        <v>46</v>
      </c>
      <c r="D22" t="s">
        <v>26</v>
      </c>
      <c r="E22" t="s">
        <v>75</v>
      </c>
      <c r="F22" t="s">
        <v>87</v>
      </c>
      <c r="G22" t="s">
        <v>273</v>
      </c>
      <c r="H22" t="str">
        <f>_xlfn.XLOOKUP(G22,final_code_definitions!A:A,final_code_definitions!F:F,"")</f>
        <v>Input quality and project context</v>
      </c>
      <c r="I22" t="s">
        <v>13</v>
      </c>
    </row>
    <row r="23" spans="1:9" x14ac:dyDescent="0.2">
      <c r="A23" t="s">
        <v>27</v>
      </c>
      <c r="B23" s="1">
        <v>5.8680555555555552E-3</v>
      </c>
      <c r="C23" t="s">
        <v>46</v>
      </c>
      <c r="D23" t="s">
        <v>26</v>
      </c>
      <c r="E23" t="s">
        <v>30</v>
      </c>
      <c r="F23" t="s">
        <v>88</v>
      </c>
      <c r="G23" t="s">
        <v>274</v>
      </c>
      <c r="H23" t="str">
        <f>_xlfn.XLOOKUP(G23,final_code_definitions!A:A,final_code_definitions!F:F,"")</f>
        <v>Input quality and project context</v>
      </c>
      <c r="I23" t="s">
        <v>13</v>
      </c>
    </row>
    <row r="24" spans="1:9" x14ac:dyDescent="0.2">
      <c r="A24" t="s">
        <v>27</v>
      </c>
      <c r="B24" s="1">
        <v>5.8680555555555552E-3</v>
      </c>
      <c r="C24" s="3" t="s">
        <v>46</v>
      </c>
      <c r="D24" t="s">
        <v>26</v>
      </c>
      <c r="E24" t="s">
        <v>31</v>
      </c>
      <c r="F24" t="s">
        <v>89</v>
      </c>
      <c r="G24" t="s">
        <v>274</v>
      </c>
      <c r="H24" t="str">
        <f>_xlfn.XLOOKUP(G24,final_code_definitions!A:A,final_code_definitions!F:F,"")</f>
        <v>Input quality and project context</v>
      </c>
      <c r="I24" t="s">
        <v>13</v>
      </c>
    </row>
    <row r="25" spans="1:9" x14ac:dyDescent="0.2">
      <c r="A25" t="s">
        <v>27</v>
      </c>
      <c r="B25" s="1">
        <v>7.1643518518518514E-3</v>
      </c>
      <c r="C25" t="s">
        <v>73</v>
      </c>
      <c r="D25">
        <v>4</v>
      </c>
      <c r="E25" t="s">
        <v>32</v>
      </c>
      <c r="F25" t="s">
        <v>90</v>
      </c>
      <c r="G25" t="s">
        <v>275</v>
      </c>
      <c r="H25" t="str">
        <f>_xlfn.XLOOKUP(G25,final_code_definitions!A:A,final_code_definitions!F:F,"")</f>
        <v>Human control and intermediate review</v>
      </c>
      <c r="I25" t="s">
        <v>12</v>
      </c>
    </row>
    <row r="26" spans="1:9" x14ac:dyDescent="0.2">
      <c r="A26" t="s">
        <v>27</v>
      </c>
      <c r="B26" s="1">
        <v>7.1643518518518514E-3</v>
      </c>
      <c r="C26" t="s">
        <v>73</v>
      </c>
      <c r="D26">
        <v>4</v>
      </c>
      <c r="E26" t="s">
        <v>33</v>
      </c>
      <c r="F26" t="s">
        <v>91</v>
      </c>
      <c r="G26" t="s">
        <v>276</v>
      </c>
      <c r="H26" t="str">
        <f>_xlfn.XLOOKUP(G26,final_code_definitions!A:A,final_code_definitions!F:F,"")</f>
        <v>Human control and intermediate review</v>
      </c>
      <c r="I26" t="s">
        <v>9</v>
      </c>
    </row>
    <row r="27" spans="1:9" x14ac:dyDescent="0.2">
      <c r="A27" t="s">
        <v>27</v>
      </c>
      <c r="B27" s="1">
        <v>7.5231481481481477E-3</v>
      </c>
      <c r="C27" t="s">
        <v>73</v>
      </c>
      <c r="D27">
        <v>4</v>
      </c>
      <c r="E27" t="s">
        <v>34</v>
      </c>
      <c r="F27" t="s">
        <v>92</v>
      </c>
      <c r="G27" t="s">
        <v>277</v>
      </c>
      <c r="H27" t="str">
        <f>_xlfn.XLOOKUP(G27,final_code_definitions!A:A,final_code_definitions!F:F,"")</f>
        <v>Human control and intermediate review</v>
      </c>
      <c r="I27" t="s">
        <v>13</v>
      </c>
    </row>
    <row r="28" spans="1:9" x14ac:dyDescent="0.2">
      <c r="A28" t="s">
        <v>27</v>
      </c>
      <c r="B28" s="1">
        <v>7.9282407407407409E-3</v>
      </c>
      <c r="C28" t="s">
        <v>73</v>
      </c>
      <c r="D28">
        <v>5</v>
      </c>
      <c r="E28" t="s">
        <v>35</v>
      </c>
      <c r="F28" t="s">
        <v>93</v>
      </c>
      <c r="G28" t="s">
        <v>278</v>
      </c>
      <c r="H28" t="str">
        <f>_xlfn.XLOOKUP(G28,final_code_definitions!A:A,final_code_definitions!F:F,"")</f>
        <v>Human control and intermediate review</v>
      </c>
      <c r="I28" t="s">
        <v>12</v>
      </c>
    </row>
    <row r="29" spans="1:9" x14ac:dyDescent="0.2">
      <c r="A29" t="s">
        <v>27</v>
      </c>
      <c r="B29" s="1">
        <v>8.1018518518518514E-3</v>
      </c>
      <c r="C29" t="s">
        <v>73</v>
      </c>
      <c r="D29">
        <v>5</v>
      </c>
      <c r="E29" t="s">
        <v>36</v>
      </c>
      <c r="F29" t="s">
        <v>94</v>
      </c>
      <c r="G29" t="s">
        <v>279</v>
      </c>
      <c r="H29" t="str">
        <f>_xlfn.XLOOKUP(G29,final_code_definitions!A:A,final_code_definitions!F:F,"")</f>
        <v>Human control and intermediate review</v>
      </c>
      <c r="I29" t="s">
        <v>13</v>
      </c>
    </row>
    <row r="30" spans="1:9" x14ac:dyDescent="0.2">
      <c r="A30" t="s">
        <v>27</v>
      </c>
      <c r="B30" s="1">
        <v>1.0127314814814815E-2</v>
      </c>
      <c r="C30" t="s">
        <v>47</v>
      </c>
      <c r="D30">
        <v>6</v>
      </c>
      <c r="E30" t="s">
        <v>37</v>
      </c>
      <c r="F30" t="s">
        <v>107</v>
      </c>
      <c r="G30" t="s">
        <v>280</v>
      </c>
      <c r="H30" t="str">
        <f>_xlfn.XLOOKUP(G30,final_code_definitions!A:A,final_code_definitions!F:F,"")</f>
        <v>Human control and intermediate review</v>
      </c>
      <c r="I30" t="s">
        <v>13</v>
      </c>
    </row>
    <row r="31" spans="1:9" x14ac:dyDescent="0.2">
      <c r="A31" t="s">
        <v>27</v>
      </c>
      <c r="B31" s="1">
        <v>1.0127314814814815E-2</v>
      </c>
      <c r="C31" t="s">
        <v>47</v>
      </c>
      <c r="D31">
        <v>6</v>
      </c>
      <c r="E31" t="s">
        <v>38</v>
      </c>
      <c r="F31" t="s">
        <v>108</v>
      </c>
      <c r="G31" t="s">
        <v>281</v>
      </c>
      <c r="H31" t="str">
        <f>_xlfn.XLOOKUP(G31,final_code_definitions!A:A,final_code_definitions!F:F,"")</f>
        <v>Human control and intermediate review</v>
      </c>
      <c r="I31" t="s">
        <v>12</v>
      </c>
    </row>
    <row r="32" spans="1:9" x14ac:dyDescent="0.2">
      <c r="A32" t="s">
        <v>27</v>
      </c>
      <c r="B32" s="1">
        <v>1.0451388888888889E-2</v>
      </c>
      <c r="C32" t="s">
        <v>47</v>
      </c>
      <c r="D32">
        <v>6</v>
      </c>
      <c r="E32" t="s">
        <v>39</v>
      </c>
      <c r="F32" t="s">
        <v>109</v>
      </c>
      <c r="G32" t="s">
        <v>281</v>
      </c>
      <c r="H32" t="str">
        <f>_xlfn.XLOOKUP(G32,final_code_definitions!A:A,final_code_definitions!F:F,"")</f>
        <v>Human control and intermediate review</v>
      </c>
      <c r="I32" t="s">
        <v>12</v>
      </c>
    </row>
    <row r="33" spans="1:9" x14ac:dyDescent="0.2">
      <c r="A33" t="s">
        <v>27</v>
      </c>
      <c r="B33" s="1">
        <v>1.0694444444444444E-2</v>
      </c>
      <c r="C33" t="s">
        <v>47</v>
      </c>
      <c r="D33">
        <v>6</v>
      </c>
      <c r="E33" t="s">
        <v>96</v>
      </c>
      <c r="F33" t="s">
        <v>110</v>
      </c>
      <c r="G33" t="s">
        <v>281</v>
      </c>
      <c r="H33" t="str">
        <f>_xlfn.XLOOKUP(G33,final_code_definitions!A:A,final_code_definitions!F:F,"")</f>
        <v>Human control and intermediate review</v>
      </c>
      <c r="I33" t="s">
        <v>12</v>
      </c>
    </row>
    <row r="34" spans="1:9" x14ac:dyDescent="0.2">
      <c r="A34" t="s">
        <v>27</v>
      </c>
      <c r="B34" s="1">
        <v>1.1064814814814816E-2</v>
      </c>
      <c r="C34" t="s">
        <v>47</v>
      </c>
      <c r="D34">
        <v>6</v>
      </c>
      <c r="E34" t="s">
        <v>97</v>
      </c>
      <c r="F34" t="s">
        <v>111</v>
      </c>
      <c r="G34" t="s">
        <v>282</v>
      </c>
      <c r="H34" t="str">
        <f>_xlfn.XLOOKUP(G34,final_code_definitions!A:A,final_code_definitions!F:F,"")</f>
        <v>Human control and intermediate review</v>
      </c>
      <c r="I34" t="s">
        <v>12</v>
      </c>
    </row>
    <row r="35" spans="1:9" x14ac:dyDescent="0.2">
      <c r="A35" t="s">
        <v>27</v>
      </c>
      <c r="B35" s="1">
        <v>1.1377314814814814E-2</v>
      </c>
      <c r="C35" t="s">
        <v>47</v>
      </c>
      <c r="D35">
        <v>6</v>
      </c>
      <c r="E35" t="s">
        <v>99</v>
      </c>
      <c r="F35" t="s">
        <v>112</v>
      </c>
      <c r="G35" t="s">
        <v>112</v>
      </c>
      <c r="H35" t="str">
        <f>_xlfn.XLOOKUP(G35,final_code_definitions!A:A,final_code_definitions!F:F,"")</f>
        <v>Human control and intermediate review</v>
      </c>
      <c r="I35" t="s">
        <v>10</v>
      </c>
    </row>
    <row r="36" spans="1:9" x14ac:dyDescent="0.2">
      <c r="A36" t="s">
        <v>27</v>
      </c>
      <c r="B36" s="1">
        <v>1.1643518518518518E-2</v>
      </c>
      <c r="C36" t="s">
        <v>47</v>
      </c>
      <c r="D36">
        <v>6</v>
      </c>
      <c r="E36" t="s">
        <v>98</v>
      </c>
      <c r="F36" t="s">
        <v>112</v>
      </c>
      <c r="G36" t="s">
        <v>112</v>
      </c>
      <c r="H36" t="str">
        <f>_xlfn.XLOOKUP(G36,final_code_definitions!A:A,final_code_definitions!F:F,"")</f>
        <v>Human control and intermediate review</v>
      </c>
      <c r="I36" t="s">
        <v>10</v>
      </c>
    </row>
    <row r="37" spans="1:9" x14ac:dyDescent="0.2">
      <c r="A37" t="s">
        <v>27</v>
      </c>
      <c r="B37" s="1">
        <v>1.2002314814814815E-2</v>
      </c>
      <c r="C37" t="s">
        <v>47</v>
      </c>
      <c r="D37">
        <v>6</v>
      </c>
      <c r="E37" t="s">
        <v>100</v>
      </c>
      <c r="F37" t="s">
        <v>113</v>
      </c>
      <c r="G37" t="s">
        <v>283</v>
      </c>
      <c r="H37" t="str">
        <f>_xlfn.XLOOKUP(G37,final_code_definitions!A:A,final_code_definitions!F:F,"")</f>
        <v>Human control and intermediate review</v>
      </c>
      <c r="I37" t="s">
        <v>10</v>
      </c>
    </row>
    <row r="38" spans="1:9" x14ac:dyDescent="0.2">
      <c r="A38" t="s">
        <v>27</v>
      </c>
      <c r="B38" s="1">
        <v>1.2673611111111111E-2</v>
      </c>
      <c r="C38" t="s">
        <v>47</v>
      </c>
      <c r="D38">
        <v>7</v>
      </c>
      <c r="E38" s="4" t="s">
        <v>102</v>
      </c>
      <c r="F38" t="s">
        <v>114</v>
      </c>
      <c r="G38" t="s">
        <v>281</v>
      </c>
      <c r="H38" t="str">
        <f>_xlfn.XLOOKUP(G38,final_code_definitions!A:A,final_code_definitions!F:F,"")</f>
        <v>Human control and intermediate review</v>
      </c>
      <c r="I38" t="s">
        <v>9</v>
      </c>
    </row>
    <row r="39" spans="1:9" x14ac:dyDescent="0.2">
      <c r="A39" t="s">
        <v>27</v>
      </c>
      <c r="B39" s="1">
        <v>1.2673611111111111E-2</v>
      </c>
      <c r="C39" t="s">
        <v>47</v>
      </c>
      <c r="D39">
        <v>7</v>
      </c>
      <c r="E39" t="s">
        <v>40</v>
      </c>
      <c r="F39" t="s">
        <v>115</v>
      </c>
      <c r="G39" t="s">
        <v>284</v>
      </c>
      <c r="H39" t="str">
        <f>_xlfn.XLOOKUP(G39,final_code_definitions!A:A,final_code_definitions!F:F,"")</f>
        <v>Human control and intermediate review</v>
      </c>
      <c r="I39" t="s">
        <v>13</v>
      </c>
    </row>
    <row r="40" spans="1:9" x14ac:dyDescent="0.2">
      <c r="A40" t="s">
        <v>27</v>
      </c>
      <c r="B40" s="1">
        <v>1.2673611111111111E-2</v>
      </c>
      <c r="C40" t="s">
        <v>47</v>
      </c>
      <c r="D40">
        <v>7</v>
      </c>
      <c r="E40" t="s">
        <v>41</v>
      </c>
      <c r="F40" t="s">
        <v>116</v>
      </c>
      <c r="G40" t="s">
        <v>283</v>
      </c>
      <c r="H40" t="str">
        <f>_xlfn.XLOOKUP(G40,final_code_definitions!A:A,final_code_definitions!F:F,"")</f>
        <v>Human control and intermediate review</v>
      </c>
      <c r="I40" t="s">
        <v>12</v>
      </c>
    </row>
    <row r="41" spans="1:9" x14ac:dyDescent="0.2">
      <c r="A41" t="s">
        <v>27</v>
      </c>
      <c r="B41" s="1">
        <v>1.3090277777777777E-2</v>
      </c>
      <c r="C41" t="s">
        <v>47</v>
      </c>
      <c r="D41">
        <v>7</v>
      </c>
      <c r="E41" t="s">
        <v>42</v>
      </c>
      <c r="F41" t="s">
        <v>112</v>
      </c>
      <c r="G41" t="s">
        <v>112</v>
      </c>
      <c r="H41" t="str">
        <f>_xlfn.XLOOKUP(G41,final_code_definitions!A:A,final_code_definitions!F:F,"")</f>
        <v>Human control and intermediate review</v>
      </c>
      <c r="I41" t="s">
        <v>9</v>
      </c>
    </row>
    <row r="42" spans="1:9" x14ac:dyDescent="0.2">
      <c r="A42" t="s">
        <v>27</v>
      </c>
      <c r="B42" s="1">
        <v>1.3449074074074073E-2</v>
      </c>
      <c r="C42" t="s">
        <v>47</v>
      </c>
      <c r="D42">
        <v>8</v>
      </c>
      <c r="E42" t="s">
        <v>43</v>
      </c>
      <c r="F42" t="s">
        <v>117</v>
      </c>
      <c r="G42" t="s">
        <v>285</v>
      </c>
      <c r="H42" t="str">
        <f>_xlfn.XLOOKUP(G42,final_code_definitions!A:A,final_code_definitions!F:F,"")</f>
        <v>Human control and intermediate review</v>
      </c>
      <c r="I42" t="s">
        <v>13</v>
      </c>
    </row>
    <row r="43" spans="1:9" x14ac:dyDescent="0.2">
      <c r="A43" t="s">
        <v>27</v>
      </c>
      <c r="B43" s="1">
        <v>1.3449074074074073E-2</v>
      </c>
      <c r="C43" t="s">
        <v>47</v>
      </c>
      <c r="D43">
        <v>8</v>
      </c>
      <c r="E43" t="s">
        <v>104</v>
      </c>
      <c r="F43" t="s">
        <v>117</v>
      </c>
      <c r="G43" t="s">
        <v>285</v>
      </c>
      <c r="H43" t="str">
        <f>_xlfn.XLOOKUP(G43,final_code_definitions!A:A,final_code_definitions!F:F,"")</f>
        <v>Human control and intermediate review</v>
      </c>
      <c r="I43" t="s">
        <v>13</v>
      </c>
    </row>
    <row r="44" spans="1:9" x14ac:dyDescent="0.2">
      <c r="A44" t="s">
        <v>27</v>
      </c>
      <c r="B44" s="1">
        <v>1.4201388888888888E-2</v>
      </c>
      <c r="C44" t="s">
        <v>47</v>
      </c>
      <c r="D44">
        <v>9</v>
      </c>
      <c r="E44" t="s">
        <v>44</v>
      </c>
      <c r="F44" t="s">
        <v>118</v>
      </c>
      <c r="G44" t="s">
        <v>264</v>
      </c>
      <c r="H44" t="str">
        <f>_xlfn.XLOOKUP(G44,final_code_definitions!A:A,final_code_definitions!F:F,"")</f>
        <v>Human control and intermediate review</v>
      </c>
      <c r="I44" t="s">
        <v>13</v>
      </c>
    </row>
    <row r="45" spans="1:9" x14ac:dyDescent="0.2">
      <c r="A45" t="s">
        <v>27</v>
      </c>
      <c r="B45" s="1">
        <v>1.4664351851851852E-2</v>
      </c>
      <c r="C45" t="s">
        <v>47</v>
      </c>
      <c r="D45">
        <v>9</v>
      </c>
      <c r="E45" t="s">
        <v>45</v>
      </c>
      <c r="F45" t="s">
        <v>119</v>
      </c>
      <c r="G45" t="s">
        <v>274</v>
      </c>
      <c r="H45" t="str">
        <f>_xlfn.XLOOKUP(G45,final_code_definitions!A:A,final_code_definitions!F:F,"")</f>
        <v>Input quality and project context</v>
      </c>
      <c r="I45" t="s">
        <v>12</v>
      </c>
    </row>
    <row r="46" spans="1:9" x14ac:dyDescent="0.2">
      <c r="A46" t="s">
        <v>120</v>
      </c>
      <c r="B46" s="1">
        <v>2.0023148148148148E-2</v>
      </c>
      <c r="C46" t="s">
        <v>173</v>
      </c>
      <c r="D46" t="s">
        <v>26</v>
      </c>
      <c r="E46" t="s">
        <v>121</v>
      </c>
      <c r="F46" t="s">
        <v>182</v>
      </c>
      <c r="G46" t="s">
        <v>286</v>
      </c>
      <c r="H46" t="str">
        <f>_xlfn.XLOOKUP(G46,final_code_definitions!A:A,final_code_definitions!F:F,"")</f>
        <v>Domain model and data foundation</v>
      </c>
      <c r="I46" t="s">
        <v>12</v>
      </c>
    </row>
    <row r="47" spans="1:9" x14ac:dyDescent="0.2">
      <c r="A47" t="s">
        <v>120</v>
      </c>
      <c r="B47" s="1">
        <v>2.042824074074074E-2</v>
      </c>
      <c r="C47" t="s">
        <v>174</v>
      </c>
      <c r="D47" t="s">
        <v>26</v>
      </c>
      <c r="E47" t="s">
        <v>172</v>
      </c>
      <c r="F47" t="s">
        <v>183</v>
      </c>
      <c r="G47" t="s">
        <v>286</v>
      </c>
      <c r="H47" t="str">
        <f>_xlfn.XLOOKUP(G47,final_code_definitions!A:A,final_code_definitions!F:F,"")</f>
        <v>Domain model and data foundation</v>
      </c>
      <c r="I47" t="s">
        <v>12</v>
      </c>
    </row>
    <row r="48" spans="1:9" x14ac:dyDescent="0.2">
      <c r="A48" t="s">
        <v>120</v>
      </c>
      <c r="B48" s="1">
        <v>2.0821759259259259E-2</v>
      </c>
      <c r="C48" t="s">
        <v>174</v>
      </c>
      <c r="D48" t="s">
        <v>26</v>
      </c>
      <c r="E48" t="s">
        <v>175</v>
      </c>
      <c r="F48" t="s">
        <v>184</v>
      </c>
      <c r="G48" t="s">
        <v>287</v>
      </c>
      <c r="H48" t="str">
        <f>_xlfn.XLOOKUP(G48,final_code_definitions!A:A,final_code_definitions!F:F,"")</f>
        <v>Domain model and data foundation</v>
      </c>
      <c r="I48" t="s">
        <v>12</v>
      </c>
    </row>
    <row r="49" spans="1:9" x14ac:dyDescent="0.2">
      <c r="A49" t="s">
        <v>120</v>
      </c>
      <c r="B49" s="1">
        <v>2.0821759259259259E-2</v>
      </c>
      <c r="C49" t="s">
        <v>174</v>
      </c>
      <c r="D49" t="s">
        <v>26</v>
      </c>
      <c r="E49" t="s">
        <v>122</v>
      </c>
      <c r="F49" t="s">
        <v>184</v>
      </c>
      <c r="G49" t="s">
        <v>287</v>
      </c>
      <c r="H49" t="str">
        <f>_xlfn.XLOOKUP(G49,final_code_definitions!A:A,final_code_definitions!F:F,"")</f>
        <v>Domain model and data foundation</v>
      </c>
      <c r="I49" t="s">
        <v>10</v>
      </c>
    </row>
    <row r="50" spans="1:9" x14ac:dyDescent="0.2">
      <c r="A50" t="s">
        <v>120</v>
      </c>
      <c r="B50" s="1">
        <v>2.1134259259259259E-2</v>
      </c>
      <c r="C50" t="s">
        <v>15</v>
      </c>
      <c r="D50" t="s">
        <v>26</v>
      </c>
      <c r="E50" t="s">
        <v>123</v>
      </c>
      <c r="F50" t="s">
        <v>184</v>
      </c>
      <c r="G50" t="s">
        <v>287</v>
      </c>
      <c r="H50" t="str">
        <f>_xlfn.XLOOKUP(G50,final_code_definitions!A:A,final_code_definitions!F:F,"")</f>
        <v>Domain model and data foundation</v>
      </c>
      <c r="I50" t="s">
        <v>12</v>
      </c>
    </row>
    <row r="51" spans="1:9" x14ac:dyDescent="0.2">
      <c r="A51" t="s">
        <v>120</v>
      </c>
      <c r="B51" s="1">
        <v>2.1284722222222222E-2</v>
      </c>
      <c r="C51" t="s">
        <v>174</v>
      </c>
      <c r="D51" t="s">
        <v>26</v>
      </c>
      <c r="E51" t="s">
        <v>124</v>
      </c>
      <c r="F51" s="3" t="s">
        <v>184</v>
      </c>
      <c r="G51" t="s">
        <v>287</v>
      </c>
      <c r="H51" t="str">
        <f>_xlfn.XLOOKUP(G51,final_code_definitions!A:A,final_code_definitions!F:F,"")</f>
        <v>Domain model and data foundation</v>
      </c>
      <c r="I51" t="s">
        <v>10</v>
      </c>
    </row>
    <row r="52" spans="1:9" x14ac:dyDescent="0.2">
      <c r="A52" t="s">
        <v>120</v>
      </c>
      <c r="B52" s="1">
        <v>2.2002314814814815E-2</v>
      </c>
      <c r="C52" t="s">
        <v>125</v>
      </c>
      <c r="D52" t="s">
        <v>26</v>
      </c>
      <c r="E52" t="s">
        <v>126</v>
      </c>
      <c r="F52" t="s">
        <v>185</v>
      </c>
      <c r="G52" t="s">
        <v>288</v>
      </c>
      <c r="H52" t="str">
        <f>_xlfn.XLOOKUP(G52,final_code_definitions!A:A,final_code_definitions!F:F,"")</f>
        <v>Security and access control</v>
      </c>
      <c r="I52" t="s">
        <v>12</v>
      </c>
    </row>
    <row r="53" spans="1:9" x14ac:dyDescent="0.2">
      <c r="A53" t="s">
        <v>120</v>
      </c>
      <c r="B53" s="1">
        <v>2.2824074074074073E-2</v>
      </c>
      <c r="C53" t="s">
        <v>15</v>
      </c>
      <c r="D53" t="s">
        <v>26</v>
      </c>
      <c r="E53" t="s">
        <v>127</v>
      </c>
      <c r="F53" t="s">
        <v>186</v>
      </c>
      <c r="G53" t="s">
        <v>289</v>
      </c>
      <c r="H53" t="str">
        <f>_xlfn.XLOOKUP(G53,final_code_definitions!A:A,final_code_definitions!F:F,"")</f>
        <v>Domain model and data foundation</v>
      </c>
      <c r="I53" t="s">
        <v>10</v>
      </c>
    </row>
    <row r="54" spans="1:9" x14ac:dyDescent="0.2">
      <c r="A54" t="s">
        <v>120</v>
      </c>
      <c r="B54" s="1">
        <v>2.3090277777777779E-2</v>
      </c>
      <c r="C54" t="s">
        <v>15</v>
      </c>
      <c r="D54" t="s">
        <v>26</v>
      </c>
      <c r="E54" t="s">
        <v>128</v>
      </c>
      <c r="F54" t="s">
        <v>187</v>
      </c>
      <c r="G54" t="s">
        <v>286</v>
      </c>
      <c r="H54" t="str">
        <f>_xlfn.XLOOKUP(G54,final_code_definitions!A:A,final_code_definitions!F:F,"")</f>
        <v>Domain model and data foundation</v>
      </c>
      <c r="I54" t="s">
        <v>12</v>
      </c>
    </row>
    <row r="55" spans="1:9" x14ac:dyDescent="0.2">
      <c r="A55" t="s">
        <v>120</v>
      </c>
      <c r="B55" s="1">
        <v>2.3831018518518519E-2</v>
      </c>
      <c r="C55" t="s">
        <v>174</v>
      </c>
      <c r="D55" t="s">
        <v>26</v>
      </c>
      <c r="E55" t="s">
        <v>176</v>
      </c>
      <c r="F55" t="s">
        <v>188</v>
      </c>
      <c r="G55" t="s">
        <v>290</v>
      </c>
      <c r="H55" t="str">
        <f>_xlfn.XLOOKUP(G55,final_code_definitions!A:A,final_code_definitions!F:F,"")</f>
        <v>Mendix convention alignment and maintainability</v>
      </c>
      <c r="I55" t="s">
        <v>12</v>
      </c>
    </row>
    <row r="56" spans="1:9" x14ac:dyDescent="0.2">
      <c r="A56" t="s">
        <v>120</v>
      </c>
      <c r="B56" s="1">
        <v>2.4062500000000001E-2</v>
      </c>
      <c r="C56" t="s">
        <v>129</v>
      </c>
      <c r="D56" t="s">
        <v>26</v>
      </c>
      <c r="E56" t="s">
        <v>130</v>
      </c>
      <c r="F56" t="s">
        <v>188</v>
      </c>
      <c r="G56" t="s">
        <v>290</v>
      </c>
      <c r="H56" t="str">
        <f>_xlfn.XLOOKUP(G56,final_code_definitions!A:A,final_code_definitions!F:F,"")</f>
        <v>Mendix convention alignment and maintainability</v>
      </c>
      <c r="I56" t="s">
        <v>10</v>
      </c>
    </row>
    <row r="57" spans="1:9" x14ac:dyDescent="0.2">
      <c r="A57" t="s">
        <v>120</v>
      </c>
      <c r="B57" s="1">
        <v>2.4421296296296295E-2</v>
      </c>
      <c r="C57" t="s">
        <v>129</v>
      </c>
      <c r="D57">
        <v>10</v>
      </c>
      <c r="E57" t="s">
        <v>131</v>
      </c>
      <c r="F57" t="s">
        <v>189</v>
      </c>
      <c r="G57" t="s">
        <v>290</v>
      </c>
      <c r="H57" t="str">
        <f>_xlfn.XLOOKUP(G57,final_code_definitions!A:A,final_code_definitions!F:F,"")</f>
        <v>Mendix convention alignment and maintainability</v>
      </c>
      <c r="I57" t="s">
        <v>10</v>
      </c>
    </row>
    <row r="58" spans="1:9" x14ac:dyDescent="0.2">
      <c r="A58" t="s">
        <v>120</v>
      </c>
      <c r="B58" s="1">
        <v>2.4722222222222222E-2</v>
      </c>
      <c r="C58" t="s">
        <v>129</v>
      </c>
      <c r="D58">
        <v>10</v>
      </c>
      <c r="E58" t="s">
        <v>132</v>
      </c>
      <c r="F58" t="s">
        <v>189</v>
      </c>
      <c r="G58" t="s">
        <v>290</v>
      </c>
      <c r="H58" t="str">
        <f>_xlfn.XLOOKUP(G58,final_code_definitions!A:A,final_code_definitions!F:F,"")</f>
        <v>Mendix convention alignment and maintainability</v>
      </c>
      <c r="I58" t="s">
        <v>9</v>
      </c>
    </row>
    <row r="59" spans="1:9" x14ac:dyDescent="0.2">
      <c r="A59" t="s">
        <v>120</v>
      </c>
      <c r="B59" s="1">
        <v>2.5150462962962961E-2</v>
      </c>
      <c r="C59" t="s">
        <v>133</v>
      </c>
      <c r="D59" t="s">
        <v>26</v>
      </c>
      <c r="E59" t="s">
        <v>134</v>
      </c>
      <c r="F59" t="s">
        <v>190</v>
      </c>
      <c r="G59" t="s">
        <v>291</v>
      </c>
      <c r="H59" t="str">
        <f>_xlfn.XLOOKUP(G59,final_code_definitions!A:A,final_code_definitions!F:F,"")</f>
        <v>Mendix convention alignment and maintainability</v>
      </c>
      <c r="I59" t="s">
        <v>13</v>
      </c>
    </row>
    <row r="60" spans="1:9" x14ac:dyDescent="0.2">
      <c r="A60" t="s">
        <v>120</v>
      </c>
      <c r="B60" s="1">
        <v>2.5740740740740741E-2</v>
      </c>
      <c r="C60" t="s">
        <v>133</v>
      </c>
      <c r="D60" t="s">
        <v>26</v>
      </c>
      <c r="E60" t="s">
        <v>135</v>
      </c>
      <c r="F60" t="s">
        <v>191</v>
      </c>
      <c r="G60" t="s">
        <v>292</v>
      </c>
      <c r="H60" t="str">
        <f>_xlfn.XLOOKUP(G60,final_code_definitions!A:A,final_code_definitions!F:F,"")</f>
        <v>Process, workflow, and logic quality</v>
      </c>
      <c r="I60" t="s">
        <v>12</v>
      </c>
    </row>
    <row r="61" spans="1:9" x14ac:dyDescent="0.2">
      <c r="A61" t="s">
        <v>120</v>
      </c>
      <c r="B61" s="1">
        <v>2.6053240740740741E-2</v>
      </c>
      <c r="C61" t="s">
        <v>133</v>
      </c>
      <c r="D61" t="s">
        <v>26</v>
      </c>
      <c r="E61" t="s">
        <v>136</v>
      </c>
      <c r="F61" t="s">
        <v>191</v>
      </c>
      <c r="G61" t="s">
        <v>292</v>
      </c>
      <c r="H61" t="str">
        <f>_xlfn.XLOOKUP(G61,final_code_definitions!A:A,final_code_definitions!F:F,"")</f>
        <v>Process, workflow, and logic quality</v>
      </c>
      <c r="I61" t="s">
        <v>12</v>
      </c>
    </row>
    <row r="62" spans="1:9" x14ac:dyDescent="0.2">
      <c r="A62" t="s">
        <v>120</v>
      </c>
      <c r="B62" s="1">
        <v>2.6053240740740741E-2</v>
      </c>
      <c r="C62" t="s">
        <v>133</v>
      </c>
      <c r="D62" t="s">
        <v>26</v>
      </c>
      <c r="E62" t="s">
        <v>137</v>
      </c>
      <c r="F62" t="s">
        <v>191</v>
      </c>
      <c r="G62" t="s">
        <v>292</v>
      </c>
      <c r="H62" t="str">
        <f>_xlfn.XLOOKUP(G62,final_code_definitions!A:A,final_code_definitions!F:F,"")</f>
        <v>Process, workflow, and logic quality</v>
      </c>
      <c r="I62" t="s">
        <v>12</v>
      </c>
    </row>
    <row r="63" spans="1:9" x14ac:dyDescent="0.2">
      <c r="A63" t="s">
        <v>120</v>
      </c>
      <c r="B63" s="1">
        <v>2.675925925925926E-2</v>
      </c>
      <c r="C63" t="s">
        <v>133</v>
      </c>
      <c r="D63" t="s">
        <v>26</v>
      </c>
      <c r="E63" t="s">
        <v>138</v>
      </c>
      <c r="F63" t="s">
        <v>192</v>
      </c>
      <c r="G63" t="s">
        <v>293</v>
      </c>
      <c r="H63" t="str">
        <f>_xlfn.XLOOKUP(G63,final_code_definitions!A:A,final_code_definitions!F:F,"")</f>
        <v>Mendix convention alignment and maintainability</v>
      </c>
      <c r="I63" t="s">
        <v>13</v>
      </c>
    </row>
    <row r="64" spans="1:9" x14ac:dyDescent="0.2">
      <c r="A64" t="s">
        <v>120</v>
      </c>
      <c r="B64" s="1">
        <v>2.6944444444444444E-2</v>
      </c>
      <c r="C64" t="s">
        <v>133</v>
      </c>
      <c r="D64" t="s">
        <v>26</v>
      </c>
      <c r="E64" t="s">
        <v>139</v>
      </c>
      <c r="F64" t="s">
        <v>193</v>
      </c>
      <c r="G64" t="s">
        <v>291</v>
      </c>
      <c r="H64" t="str">
        <f>_xlfn.XLOOKUP(G64,final_code_definitions!A:A,final_code_definitions!F:F,"")</f>
        <v>Mendix convention alignment and maintainability</v>
      </c>
      <c r="I64" t="s">
        <v>10</v>
      </c>
    </row>
    <row r="65" spans="1:9" x14ac:dyDescent="0.2">
      <c r="A65" t="s">
        <v>120</v>
      </c>
      <c r="B65" s="1">
        <v>2.7476851851851853E-2</v>
      </c>
      <c r="C65" t="s">
        <v>133</v>
      </c>
      <c r="D65">
        <v>11</v>
      </c>
      <c r="E65" t="s">
        <v>140</v>
      </c>
      <c r="F65" t="s">
        <v>194</v>
      </c>
      <c r="G65" t="s">
        <v>294</v>
      </c>
      <c r="H65" t="str">
        <f>_xlfn.XLOOKUP(G65,final_code_definitions!A:A,final_code_definitions!F:F,"")</f>
        <v>Process, workflow, and logic quality</v>
      </c>
      <c r="I65" t="s">
        <v>13</v>
      </c>
    </row>
    <row r="66" spans="1:9" x14ac:dyDescent="0.2">
      <c r="A66" t="s">
        <v>120</v>
      </c>
      <c r="B66" s="1">
        <v>2.7476851851851853E-2</v>
      </c>
      <c r="C66" t="s">
        <v>133</v>
      </c>
      <c r="D66">
        <v>11</v>
      </c>
      <c r="E66" t="s">
        <v>141</v>
      </c>
      <c r="F66" t="s">
        <v>189</v>
      </c>
      <c r="G66" t="s">
        <v>290</v>
      </c>
      <c r="H66" t="str">
        <f>_xlfn.XLOOKUP(G66,final_code_definitions!A:A,final_code_definitions!F:F,"")</f>
        <v>Mendix convention alignment and maintainability</v>
      </c>
      <c r="I66" t="s">
        <v>13</v>
      </c>
    </row>
    <row r="67" spans="1:9" x14ac:dyDescent="0.2">
      <c r="A67" t="s">
        <v>120</v>
      </c>
      <c r="B67" s="1">
        <v>2.7673611111111111E-2</v>
      </c>
      <c r="C67" t="s">
        <v>180</v>
      </c>
      <c r="D67" t="s">
        <v>26</v>
      </c>
      <c r="E67" t="s">
        <v>179</v>
      </c>
      <c r="F67" t="s">
        <v>195</v>
      </c>
      <c r="G67" t="s">
        <v>295</v>
      </c>
      <c r="H67" t="str">
        <f>_xlfn.XLOOKUP(G67,final_code_definitions!A:A,final_code_definitions!F:F,"")</f>
        <v>Mendix convention alignment and maintainability</v>
      </c>
      <c r="I67" t="s">
        <v>12</v>
      </c>
    </row>
    <row r="68" spans="1:9" x14ac:dyDescent="0.2">
      <c r="A68" t="s">
        <v>120</v>
      </c>
      <c r="B68" s="1">
        <v>2.7870370370370372E-2</v>
      </c>
      <c r="C68" t="s">
        <v>180</v>
      </c>
      <c r="D68" t="s">
        <v>26</v>
      </c>
      <c r="E68" t="s">
        <v>142</v>
      </c>
      <c r="F68" t="s">
        <v>198</v>
      </c>
      <c r="G68" t="s">
        <v>295</v>
      </c>
      <c r="H68" t="str">
        <f>_xlfn.XLOOKUP(G68,final_code_definitions!A:A,final_code_definitions!F:F,"")</f>
        <v>Mendix convention alignment and maintainability</v>
      </c>
      <c r="I68" t="s">
        <v>12</v>
      </c>
    </row>
    <row r="69" spans="1:9" x14ac:dyDescent="0.2">
      <c r="A69" t="s">
        <v>120</v>
      </c>
      <c r="B69" s="1">
        <v>2.8020833333333332E-2</v>
      </c>
      <c r="C69" t="s">
        <v>180</v>
      </c>
      <c r="D69" t="s">
        <v>26</v>
      </c>
      <c r="E69" t="s">
        <v>143</v>
      </c>
      <c r="F69" t="s">
        <v>197</v>
      </c>
      <c r="G69" t="s">
        <v>295</v>
      </c>
      <c r="H69" t="str">
        <f>_xlfn.XLOOKUP(G69,final_code_definitions!A:A,final_code_definitions!F:F,"")</f>
        <v>Mendix convention alignment and maintainability</v>
      </c>
      <c r="I69" t="s">
        <v>10</v>
      </c>
    </row>
    <row r="70" spans="1:9" x14ac:dyDescent="0.2">
      <c r="A70" t="s">
        <v>120</v>
      </c>
      <c r="B70" s="1">
        <v>2.8020833333333332E-2</v>
      </c>
      <c r="C70" t="s">
        <v>180</v>
      </c>
      <c r="D70" t="s">
        <v>26</v>
      </c>
      <c r="E70" t="s">
        <v>144</v>
      </c>
      <c r="F70" t="s">
        <v>196</v>
      </c>
      <c r="G70" t="s">
        <v>266</v>
      </c>
      <c r="H70" t="str">
        <f>_xlfn.XLOOKUP(G70,final_code_definitions!A:A,final_code_definitions!F:F,"")</f>
        <v>Input quality and project context</v>
      </c>
      <c r="I70" t="s">
        <v>10</v>
      </c>
    </row>
    <row r="71" spans="1:9" x14ac:dyDescent="0.2">
      <c r="A71" t="s">
        <v>120</v>
      </c>
      <c r="B71" s="1">
        <v>2.9085648148148149E-2</v>
      </c>
      <c r="C71" t="s">
        <v>145</v>
      </c>
      <c r="D71" t="s">
        <v>26</v>
      </c>
      <c r="E71" t="s">
        <v>146</v>
      </c>
      <c r="F71" t="s">
        <v>199</v>
      </c>
      <c r="G71" t="s">
        <v>199</v>
      </c>
      <c r="H71" t="str">
        <f>_xlfn.XLOOKUP(G71,final_code_definitions!A:A,final_code_definitions!F:F,"")</f>
        <v>Process, workflow, and logic quality</v>
      </c>
      <c r="I71" t="s">
        <v>13</v>
      </c>
    </row>
    <row r="72" spans="1:9" x14ac:dyDescent="0.2">
      <c r="A72" t="s">
        <v>120</v>
      </c>
      <c r="B72" s="1">
        <v>3.005787037037037E-2</v>
      </c>
      <c r="C72" t="s">
        <v>145</v>
      </c>
      <c r="D72" t="s">
        <v>26</v>
      </c>
      <c r="E72" t="s">
        <v>147</v>
      </c>
      <c r="F72" t="s">
        <v>200</v>
      </c>
      <c r="G72" t="s">
        <v>200</v>
      </c>
      <c r="H72" t="str">
        <f>_xlfn.XLOOKUP(G72,final_code_definitions!A:A,final_code_definitions!F:F,"")</f>
        <v>Process, workflow, and logic quality</v>
      </c>
      <c r="I72" t="s">
        <v>13</v>
      </c>
    </row>
    <row r="73" spans="1:9" x14ac:dyDescent="0.2">
      <c r="A73" t="s">
        <v>120</v>
      </c>
      <c r="B73" s="1">
        <v>3.048611111111111E-2</v>
      </c>
      <c r="C73" t="s">
        <v>180</v>
      </c>
      <c r="D73" t="s">
        <v>26</v>
      </c>
      <c r="E73" t="s">
        <v>148</v>
      </c>
      <c r="F73" t="s">
        <v>201</v>
      </c>
      <c r="G73" t="s">
        <v>290</v>
      </c>
      <c r="H73" t="str">
        <f>_xlfn.XLOOKUP(G73,final_code_definitions!A:A,final_code_definitions!F:F,"")</f>
        <v>Mendix convention alignment and maintainability</v>
      </c>
      <c r="I73" t="s">
        <v>10</v>
      </c>
    </row>
    <row r="74" spans="1:9" x14ac:dyDescent="0.2">
      <c r="A74" t="s">
        <v>120</v>
      </c>
      <c r="B74" s="1">
        <v>3.1655092592592596E-2</v>
      </c>
      <c r="C74" t="s">
        <v>145</v>
      </c>
      <c r="D74" t="s">
        <v>26</v>
      </c>
      <c r="E74" t="s">
        <v>149</v>
      </c>
      <c r="F74" t="s">
        <v>202</v>
      </c>
      <c r="G74" t="s">
        <v>296</v>
      </c>
      <c r="H74" t="str">
        <f>_xlfn.XLOOKUP(G74,final_code_definitions!A:A,final_code_definitions!F:F,"")</f>
        <v>Process, workflow, and logic quality</v>
      </c>
      <c r="I74" t="s">
        <v>10</v>
      </c>
    </row>
    <row r="75" spans="1:9" x14ac:dyDescent="0.2">
      <c r="A75" t="s">
        <v>120</v>
      </c>
      <c r="B75" s="1">
        <v>3.1736111111111111E-2</v>
      </c>
      <c r="C75" t="s">
        <v>145</v>
      </c>
      <c r="D75" t="s">
        <v>26</v>
      </c>
      <c r="E75" t="s">
        <v>150</v>
      </c>
      <c r="F75" t="s">
        <v>203</v>
      </c>
      <c r="G75" t="s">
        <v>296</v>
      </c>
      <c r="H75" t="str">
        <f>_xlfn.XLOOKUP(G75,final_code_definitions!A:A,final_code_definitions!F:F,"")</f>
        <v>Process, workflow, and logic quality</v>
      </c>
      <c r="I75" t="s">
        <v>10</v>
      </c>
    </row>
    <row r="76" spans="1:9" x14ac:dyDescent="0.2">
      <c r="A76" t="s">
        <v>120</v>
      </c>
      <c r="B76" s="1">
        <v>3.229166666666667E-2</v>
      </c>
      <c r="C76" t="s">
        <v>133</v>
      </c>
      <c r="D76" t="s">
        <v>26</v>
      </c>
      <c r="E76" t="s">
        <v>151</v>
      </c>
      <c r="F76" t="s">
        <v>204</v>
      </c>
      <c r="G76" t="s">
        <v>297</v>
      </c>
      <c r="H76" t="str">
        <f>_xlfn.XLOOKUP(G76,final_code_definitions!A:A,final_code_definitions!F:F,"")</f>
        <v>Security and access control</v>
      </c>
      <c r="I76" t="s">
        <v>12</v>
      </c>
    </row>
    <row r="77" spans="1:9" x14ac:dyDescent="0.2">
      <c r="A77" t="s">
        <v>120</v>
      </c>
      <c r="B77" s="1">
        <v>3.229166666666667E-2</v>
      </c>
      <c r="C77" t="s">
        <v>133</v>
      </c>
      <c r="D77" t="s">
        <v>26</v>
      </c>
      <c r="E77" t="s">
        <v>152</v>
      </c>
      <c r="F77" t="s">
        <v>205</v>
      </c>
      <c r="G77" t="s">
        <v>297</v>
      </c>
      <c r="H77" t="str">
        <f>_xlfn.XLOOKUP(G77,final_code_definitions!A:A,final_code_definitions!F:F,"")</f>
        <v>Security and access control</v>
      </c>
      <c r="I77" t="s">
        <v>10</v>
      </c>
    </row>
    <row r="78" spans="1:9" x14ac:dyDescent="0.2">
      <c r="A78" t="s">
        <v>120</v>
      </c>
      <c r="B78" s="1">
        <v>3.2881944444444443E-2</v>
      </c>
      <c r="C78" t="s">
        <v>133</v>
      </c>
      <c r="D78" t="s">
        <v>26</v>
      </c>
      <c r="E78" t="s">
        <v>153</v>
      </c>
      <c r="F78" t="s">
        <v>206</v>
      </c>
      <c r="G78" t="s">
        <v>297</v>
      </c>
      <c r="H78" t="str">
        <f>_xlfn.XLOOKUP(G78,final_code_definitions!A:A,final_code_definitions!F:F,"")</f>
        <v>Security and access control</v>
      </c>
      <c r="I78" t="s">
        <v>10</v>
      </c>
    </row>
    <row r="79" spans="1:9" x14ac:dyDescent="0.2">
      <c r="A79" t="s">
        <v>120</v>
      </c>
      <c r="B79" s="1">
        <v>3.321759259259259E-2</v>
      </c>
      <c r="C79" t="s">
        <v>145</v>
      </c>
      <c r="D79" t="s">
        <v>26</v>
      </c>
      <c r="E79" t="s">
        <v>154</v>
      </c>
      <c r="F79" t="s">
        <v>207</v>
      </c>
      <c r="G79" t="s">
        <v>207</v>
      </c>
      <c r="H79" t="str">
        <f>_xlfn.XLOOKUP(G79,final_code_definitions!A:A,final_code_definitions!F:F,"")</f>
        <v>Process, workflow, and logic quality</v>
      </c>
      <c r="I79" t="s">
        <v>9</v>
      </c>
    </row>
    <row r="80" spans="1:9" x14ac:dyDescent="0.2">
      <c r="A80" t="s">
        <v>120</v>
      </c>
      <c r="B80" s="1">
        <v>3.3703703703703701E-2</v>
      </c>
      <c r="C80" t="s">
        <v>145</v>
      </c>
      <c r="D80" t="s">
        <v>26</v>
      </c>
      <c r="E80" t="s">
        <v>155</v>
      </c>
      <c r="F80" t="s">
        <v>208</v>
      </c>
      <c r="G80" t="s">
        <v>209</v>
      </c>
      <c r="H80" t="str">
        <f>_xlfn.XLOOKUP(G80,final_code_definitions!A:A,final_code_definitions!F:F,"")</f>
        <v>Process, workflow, and logic quality</v>
      </c>
      <c r="I80" t="s">
        <v>13</v>
      </c>
    </row>
    <row r="81" spans="1:9" x14ac:dyDescent="0.2">
      <c r="A81" t="s">
        <v>120</v>
      </c>
      <c r="B81" s="1">
        <v>3.4270833333333334E-2</v>
      </c>
      <c r="C81" t="s">
        <v>145</v>
      </c>
      <c r="D81" t="s">
        <v>26</v>
      </c>
      <c r="E81" t="s">
        <v>156</v>
      </c>
      <c r="F81" t="s">
        <v>209</v>
      </c>
      <c r="G81" t="s">
        <v>209</v>
      </c>
      <c r="H81" t="str">
        <f>_xlfn.XLOOKUP(G81,final_code_definitions!A:A,final_code_definitions!F:F,"")</f>
        <v>Process, workflow, and logic quality</v>
      </c>
      <c r="I81" t="s">
        <v>13</v>
      </c>
    </row>
    <row r="82" spans="1:9" x14ac:dyDescent="0.2">
      <c r="A82" t="s">
        <v>120</v>
      </c>
      <c r="B82" s="1">
        <v>3.4675925925925923E-2</v>
      </c>
      <c r="C82" t="s">
        <v>133</v>
      </c>
      <c r="D82" t="s">
        <v>26</v>
      </c>
      <c r="E82" t="s">
        <v>157</v>
      </c>
      <c r="F82" t="s">
        <v>210</v>
      </c>
      <c r="G82" t="s">
        <v>298</v>
      </c>
      <c r="H82" t="str">
        <f>_xlfn.XLOOKUP(G82,final_code_definitions!A:A,final_code_definitions!F:F,"")</f>
        <v>Process, workflow, and logic quality</v>
      </c>
      <c r="I82" t="s">
        <v>10</v>
      </c>
    </row>
    <row r="83" spans="1:9" x14ac:dyDescent="0.2">
      <c r="A83" t="s">
        <v>120</v>
      </c>
      <c r="B83" s="1">
        <v>3.4872685185185187E-2</v>
      </c>
      <c r="C83" t="s">
        <v>133</v>
      </c>
      <c r="D83" t="s">
        <v>26</v>
      </c>
      <c r="E83" t="s">
        <v>158</v>
      </c>
      <c r="F83" t="s">
        <v>211</v>
      </c>
      <c r="G83" t="s">
        <v>299</v>
      </c>
      <c r="H83" t="str">
        <f>_xlfn.XLOOKUP(G83,final_code_definitions!A:A,final_code_definitions!F:F,"")</f>
        <v>Process, workflow, and logic quality</v>
      </c>
      <c r="I83" t="s">
        <v>10</v>
      </c>
    </row>
    <row r="84" spans="1:9" x14ac:dyDescent="0.2">
      <c r="A84" t="s">
        <v>120</v>
      </c>
      <c r="B84" s="1">
        <v>3.5115740740740739E-2</v>
      </c>
      <c r="C84" t="s">
        <v>180</v>
      </c>
      <c r="D84" t="s">
        <v>26</v>
      </c>
      <c r="E84" t="s">
        <v>159</v>
      </c>
      <c r="F84" t="s">
        <v>212</v>
      </c>
      <c r="G84" t="s">
        <v>265</v>
      </c>
      <c r="H84" t="str">
        <f>_xlfn.XLOOKUP(G84,final_code_definitions!A:A,final_code_definitions!F:F,"")</f>
        <v>Input quality and project context</v>
      </c>
      <c r="I84" t="s">
        <v>13</v>
      </c>
    </row>
    <row r="85" spans="1:9" x14ac:dyDescent="0.2">
      <c r="A85" t="s">
        <v>120</v>
      </c>
      <c r="B85" s="1">
        <v>3.5983796296296298E-2</v>
      </c>
      <c r="C85" t="s">
        <v>160</v>
      </c>
      <c r="D85" t="s">
        <v>26</v>
      </c>
      <c r="E85" t="s">
        <v>161</v>
      </c>
      <c r="F85" t="s">
        <v>213</v>
      </c>
      <c r="G85" t="s">
        <v>300</v>
      </c>
      <c r="H85" t="str">
        <f>_xlfn.XLOOKUP(G85,final_code_definitions!A:A,final_code_definitions!F:F,"")</f>
        <v>Development handoff and adoption feasibility</v>
      </c>
      <c r="I85" t="s">
        <v>13</v>
      </c>
    </row>
    <row r="86" spans="1:9" x14ac:dyDescent="0.2">
      <c r="A86" t="s">
        <v>120</v>
      </c>
      <c r="B86" s="1">
        <v>3.6099537037037034E-2</v>
      </c>
      <c r="C86" t="s">
        <v>160</v>
      </c>
      <c r="D86" t="s">
        <v>26</v>
      </c>
      <c r="E86" t="s">
        <v>162</v>
      </c>
      <c r="F86" t="s">
        <v>214</v>
      </c>
      <c r="G86" t="s">
        <v>300</v>
      </c>
      <c r="H86" t="str">
        <f>_xlfn.XLOOKUP(G86,final_code_definitions!A:A,final_code_definitions!F:F,"")</f>
        <v>Development handoff and adoption feasibility</v>
      </c>
      <c r="I86" t="s">
        <v>9</v>
      </c>
    </row>
    <row r="87" spans="1:9" x14ac:dyDescent="0.2">
      <c r="A87" t="s">
        <v>120</v>
      </c>
      <c r="B87" s="1">
        <v>3.6574074074074071E-2</v>
      </c>
      <c r="C87" t="s">
        <v>160</v>
      </c>
      <c r="D87">
        <v>12</v>
      </c>
      <c r="E87" t="s">
        <v>163</v>
      </c>
      <c r="F87" t="s">
        <v>215</v>
      </c>
      <c r="G87" t="s">
        <v>301</v>
      </c>
      <c r="H87" t="str">
        <f>_xlfn.XLOOKUP(G87,final_code_definitions!A:A,final_code_definitions!F:F,"")</f>
        <v>Development handoff and adoption feasibility</v>
      </c>
      <c r="I87" t="s">
        <v>10</v>
      </c>
    </row>
    <row r="88" spans="1:9" x14ac:dyDescent="0.2">
      <c r="A88" t="s">
        <v>120</v>
      </c>
      <c r="B88" s="1">
        <v>3.6736111111111108E-2</v>
      </c>
      <c r="C88" t="s">
        <v>160</v>
      </c>
      <c r="D88" t="s">
        <v>26</v>
      </c>
      <c r="E88" t="s">
        <v>164</v>
      </c>
      <c r="F88" t="s">
        <v>216</v>
      </c>
      <c r="G88" t="s">
        <v>301</v>
      </c>
      <c r="H88" t="str">
        <f>_xlfn.XLOOKUP(G88,final_code_definitions!A:A,final_code_definitions!F:F,"")</f>
        <v>Development handoff and adoption feasibility</v>
      </c>
      <c r="I88" t="s">
        <v>10</v>
      </c>
    </row>
    <row r="89" spans="1:9" x14ac:dyDescent="0.2">
      <c r="A89" t="s">
        <v>120</v>
      </c>
      <c r="B89" s="1">
        <v>3.7627314814814815E-2</v>
      </c>
      <c r="C89" t="s">
        <v>165</v>
      </c>
      <c r="D89" t="s">
        <v>26</v>
      </c>
      <c r="E89" t="s">
        <v>166</v>
      </c>
      <c r="F89" t="s">
        <v>217</v>
      </c>
      <c r="G89" t="s">
        <v>302</v>
      </c>
      <c r="H89" t="str">
        <f>_xlfn.XLOOKUP(G89,final_code_definitions!A:A,final_code_definitions!F:F,"")</f>
        <v>Development handoff and adoption feasibility</v>
      </c>
      <c r="I89" t="s">
        <v>10</v>
      </c>
    </row>
    <row r="90" spans="1:9" x14ac:dyDescent="0.2">
      <c r="A90" t="s">
        <v>120</v>
      </c>
      <c r="B90" s="1">
        <v>3.8576388888888889E-2</v>
      </c>
      <c r="C90" t="s">
        <v>125</v>
      </c>
      <c r="D90" t="s">
        <v>26</v>
      </c>
      <c r="E90" t="s">
        <v>167</v>
      </c>
      <c r="F90" t="s">
        <v>218</v>
      </c>
      <c r="G90" t="s">
        <v>303</v>
      </c>
      <c r="H90" t="str">
        <f>_xlfn.XLOOKUP(G90,final_code_definitions!A:A,final_code_definitions!F:F,"")</f>
        <v>Security and access control</v>
      </c>
      <c r="I90" t="s">
        <v>10</v>
      </c>
    </row>
    <row r="91" spans="1:9" x14ac:dyDescent="0.2">
      <c r="A91" t="s">
        <v>120</v>
      </c>
      <c r="B91" s="1">
        <v>3.8831018518518522E-2</v>
      </c>
      <c r="C91" t="s">
        <v>125</v>
      </c>
      <c r="D91" t="s">
        <v>26</v>
      </c>
      <c r="E91" t="s">
        <v>168</v>
      </c>
      <c r="F91" t="s">
        <v>219</v>
      </c>
      <c r="G91" t="s">
        <v>303</v>
      </c>
      <c r="H91" t="str">
        <f>_xlfn.XLOOKUP(G91,final_code_definitions!A:A,final_code_definitions!F:F,"")</f>
        <v>Security and access control</v>
      </c>
      <c r="I91" t="s">
        <v>10</v>
      </c>
    </row>
    <row r="92" spans="1:9" x14ac:dyDescent="0.2">
      <c r="A92" t="s">
        <v>120</v>
      </c>
      <c r="B92" s="1">
        <v>3.9039351851851853E-2</v>
      </c>
      <c r="C92" t="s">
        <v>125</v>
      </c>
      <c r="D92" t="s">
        <v>26</v>
      </c>
      <c r="E92" t="s">
        <v>169</v>
      </c>
      <c r="F92" t="s">
        <v>220</v>
      </c>
      <c r="G92" t="s">
        <v>303</v>
      </c>
      <c r="H92" t="str">
        <f>_xlfn.XLOOKUP(G92,final_code_definitions!A:A,final_code_definitions!F:F,"")</f>
        <v>Security and access control</v>
      </c>
      <c r="I92" t="s">
        <v>12</v>
      </c>
    </row>
    <row r="93" spans="1:9" x14ac:dyDescent="0.2">
      <c r="A93" t="s">
        <v>120</v>
      </c>
      <c r="B93" s="1">
        <v>3.9155092592592596E-2</v>
      </c>
      <c r="C93" t="s">
        <v>125</v>
      </c>
      <c r="D93" t="s">
        <v>26</v>
      </c>
      <c r="E93" t="s">
        <v>170</v>
      </c>
      <c r="F93" t="s">
        <v>221</v>
      </c>
      <c r="G93" t="s">
        <v>304</v>
      </c>
      <c r="H93" t="str">
        <f>_xlfn.XLOOKUP(G93,final_code_definitions!A:A,final_code_definitions!F:F,"")</f>
        <v>Security and access control</v>
      </c>
      <c r="I93" t="s">
        <v>9</v>
      </c>
    </row>
    <row r="94" spans="1:9" x14ac:dyDescent="0.2">
      <c r="A94" t="s">
        <v>120</v>
      </c>
      <c r="B94" s="1">
        <v>3.9363425925925927E-2</v>
      </c>
      <c r="C94" t="s">
        <v>180</v>
      </c>
      <c r="D94" t="s">
        <v>26</v>
      </c>
      <c r="E94" t="s">
        <v>171</v>
      </c>
      <c r="F94" t="s">
        <v>222</v>
      </c>
      <c r="G94" t="s">
        <v>222</v>
      </c>
      <c r="H94" t="str">
        <f>_xlfn.XLOOKUP(G94,final_code_definitions!A:A,final_code_definitions!F:F,"")</f>
        <v>Human control and intermediate review</v>
      </c>
      <c r="I94" t="s">
        <v>9</v>
      </c>
    </row>
    <row r="95" spans="1:9" x14ac:dyDescent="0.2">
      <c r="A95" t="s">
        <v>223</v>
      </c>
      <c r="B95" s="1">
        <v>4.0173611111111111E-2</v>
      </c>
      <c r="C95" t="s">
        <v>26</v>
      </c>
      <c r="D95">
        <v>13</v>
      </c>
      <c r="E95" t="s">
        <v>224</v>
      </c>
      <c r="F95" t="s">
        <v>246</v>
      </c>
      <c r="G95" t="s">
        <v>305</v>
      </c>
      <c r="H95" t="str">
        <f>_xlfn.XLOOKUP(G95,final_code_definitions!A:A,final_code_definitions!F:F,"")</f>
        <v>Development handoff and adoption feasibility</v>
      </c>
      <c r="I95" t="s">
        <v>9</v>
      </c>
    </row>
    <row r="96" spans="1:9" x14ac:dyDescent="0.2">
      <c r="A96" t="s">
        <v>223</v>
      </c>
      <c r="B96" s="1">
        <v>4.0347222222222222E-2</v>
      </c>
      <c r="C96" t="s">
        <v>26</v>
      </c>
      <c r="D96">
        <v>14</v>
      </c>
      <c r="E96" t="s">
        <v>237</v>
      </c>
      <c r="F96" t="s">
        <v>247</v>
      </c>
      <c r="G96" t="s">
        <v>306</v>
      </c>
      <c r="H96" t="str">
        <f>_xlfn.XLOOKUP(G96,final_code_definitions!A:A,final_code_definitions!F:F,"")</f>
        <v>Development handoff and adoption feasibility</v>
      </c>
      <c r="I96" t="s">
        <v>12</v>
      </c>
    </row>
    <row r="97" spans="1:9" x14ac:dyDescent="0.2">
      <c r="A97" t="s">
        <v>223</v>
      </c>
      <c r="B97" s="1">
        <v>4.0497685185185185E-2</v>
      </c>
      <c r="C97" t="s">
        <v>26</v>
      </c>
      <c r="D97">
        <v>14</v>
      </c>
      <c r="E97" t="s">
        <v>238</v>
      </c>
      <c r="F97" t="s">
        <v>248</v>
      </c>
      <c r="G97" t="s">
        <v>306</v>
      </c>
      <c r="H97" t="str">
        <f>_xlfn.XLOOKUP(G97,final_code_definitions!A:A,final_code_definitions!F:F,"")</f>
        <v>Development handoff and adoption feasibility</v>
      </c>
      <c r="I97" t="s">
        <v>12</v>
      </c>
    </row>
    <row r="98" spans="1:9" x14ac:dyDescent="0.2">
      <c r="A98" t="s">
        <v>223</v>
      </c>
      <c r="B98" s="1">
        <v>4.0532407407407406E-2</v>
      </c>
      <c r="C98" t="s">
        <v>26</v>
      </c>
      <c r="D98">
        <v>14</v>
      </c>
      <c r="E98" t="s">
        <v>239</v>
      </c>
      <c r="F98" t="s">
        <v>249</v>
      </c>
      <c r="G98" t="s">
        <v>307</v>
      </c>
      <c r="H98" t="str">
        <f>_xlfn.XLOOKUP(G98,final_code_definitions!A:A,final_code_definitions!F:F,"")</f>
        <v>Development handoff and adoption feasibility</v>
      </c>
      <c r="I98" t="s">
        <v>12</v>
      </c>
    </row>
    <row r="99" spans="1:9" x14ac:dyDescent="0.2">
      <c r="A99" t="s">
        <v>223</v>
      </c>
      <c r="B99" s="1">
        <v>4.071759259259259E-2</v>
      </c>
      <c r="C99" t="s">
        <v>26</v>
      </c>
      <c r="D99">
        <v>14</v>
      </c>
      <c r="E99" t="s">
        <v>225</v>
      </c>
      <c r="F99" t="s">
        <v>250</v>
      </c>
      <c r="G99" t="s">
        <v>308</v>
      </c>
      <c r="H99" t="str">
        <f>_xlfn.XLOOKUP(G99,final_code_definitions!A:A,final_code_definitions!F:F,"")</f>
        <v>Mendix convention alignment and maintainability</v>
      </c>
      <c r="I99" t="s">
        <v>12</v>
      </c>
    </row>
    <row r="100" spans="1:9" x14ac:dyDescent="0.2">
      <c r="A100" t="s">
        <v>223</v>
      </c>
      <c r="B100" s="1">
        <v>4.1377314814814818E-2</v>
      </c>
      <c r="C100" t="s">
        <v>26</v>
      </c>
      <c r="D100">
        <v>14</v>
      </c>
      <c r="E100" t="s">
        <v>226</v>
      </c>
      <c r="F100" t="s">
        <v>251</v>
      </c>
      <c r="G100" t="s">
        <v>309</v>
      </c>
      <c r="H100" t="str">
        <f>_xlfn.XLOOKUP(G100,final_code_definitions!A:A,final_code_definitions!F:F,"")</f>
        <v>Process, workflow, and logic quality</v>
      </c>
      <c r="I100" t="s">
        <v>10</v>
      </c>
    </row>
    <row r="101" spans="1:9" x14ac:dyDescent="0.2">
      <c r="A101" t="s">
        <v>223</v>
      </c>
      <c r="B101" s="1">
        <v>4.1631944444444444E-2</v>
      </c>
      <c r="C101" t="s">
        <v>26</v>
      </c>
      <c r="D101">
        <v>14</v>
      </c>
      <c r="E101" t="s">
        <v>227</v>
      </c>
      <c r="F101" t="s">
        <v>252</v>
      </c>
      <c r="G101" t="s">
        <v>309</v>
      </c>
      <c r="H101" t="str">
        <f>_xlfn.XLOOKUP(G101,final_code_definitions!A:A,final_code_definitions!F:F,"")</f>
        <v>Process, workflow, and logic quality</v>
      </c>
      <c r="I101" t="s">
        <v>12</v>
      </c>
    </row>
    <row r="102" spans="1:9" x14ac:dyDescent="0.2">
      <c r="A102" t="s">
        <v>223</v>
      </c>
      <c r="B102" s="1">
        <v>4.1631944444444444E-2</v>
      </c>
      <c r="C102" t="s">
        <v>26</v>
      </c>
      <c r="D102">
        <v>14</v>
      </c>
      <c r="E102" t="s">
        <v>228</v>
      </c>
      <c r="F102" t="s">
        <v>253</v>
      </c>
      <c r="G102" t="s">
        <v>299</v>
      </c>
      <c r="H102" t="str">
        <f>_xlfn.XLOOKUP(G102,final_code_definitions!A:A,final_code_definitions!F:F,"")</f>
        <v>Process, workflow, and logic quality</v>
      </c>
      <c r="I102" t="s">
        <v>12</v>
      </c>
    </row>
    <row r="103" spans="1:9" x14ac:dyDescent="0.2">
      <c r="A103" t="s">
        <v>223</v>
      </c>
      <c r="B103" s="1">
        <v>4.2245370370370371E-2</v>
      </c>
      <c r="C103" t="s">
        <v>26</v>
      </c>
      <c r="D103">
        <v>14</v>
      </c>
      <c r="E103" t="s">
        <v>229</v>
      </c>
      <c r="F103" t="s">
        <v>254</v>
      </c>
      <c r="G103" t="s">
        <v>309</v>
      </c>
      <c r="H103" t="str">
        <f>_xlfn.XLOOKUP(G103,final_code_definitions!A:A,final_code_definitions!F:F,"")</f>
        <v>Process, workflow, and logic quality</v>
      </c>
      <c r="I103" t="s">
        <v>12</v>
      </c>
    </row>
    <row r="104" spans="1:9" x14ac:dyDescent="0.2">
      <c r="A104" t="s">
        <v>223</v>
      </c>
      <c r="B104" s="1">
        <v>4.2245370370370371E-2</v>
      </c>
      <c r="C104" t="s">
        <v>26</v>
      </c>
      <c r="D104">
        <v>14</v>
      </c>
      <c r="E104" t="s">
        <v>230</v>
      </c>
      <c r="F104" t="s">
        <v>255</v>
      </c>
      <c r="G104" t="s">
        <v>310</v>
      </c>
      <c r="H104" t="str">
        <f>_xlfn.XLOOKUP(G104,final_code_definitions!A:A,final_code_definitions!F:F,"")</f>
        <v>Process, workflow, and logic quality</v>
      </c>
      <c r="I104" t="s">
        <v>9</v>
      </c>
    </row>
    <row r="105" spans="1:9" x14ac:dyDescent="0.2">
      <c r="A105" t="s">
        <v>223</v>
      </c>
      <c r="B105" s="1">
        <v>4.3344907407407408E-2</v>
      </c>
      <c r="C105" t="s">
        <v>26</v>
      </c>
      <c r="D105">
        <v>15</v>
      </c>
      <c r="E105" t="s">
        <v>241</v>
      </c>
      <c r="F105" t="s">
        <v>256</v>
      </c>
      <c r="G105" t="s">
        <v>311</v>
      </c>
      <c r="H105" t="str">
        <f>_xlfn.XLOOKUP(G105,final_code_definitions!A:A,final_code_definitions!F:F,"")</f>
        <v>Mendix convention alignment and maintainability</v>
      </c>
      <c r="I105" t="s">
        <v>10</v>
      </c>
    </row>
    <row r="106" spans="1:9" x14ac:dyDescent="0.2">
      <c r="A106" t="s">
        <v>223</v>
      </c>
      <c r="B106" s="1">
        <v>4.3344907407407408E-2</v>
      </c>
      <c r="C106" t="s">
        <v>26</v>
      </c>
      <c r="D106">
        <v>15</v>
      </c>
      <c r="E106" t="s">
        <v>242</v>
      </c>
      <c r="F106" t="s">
        <v>257</v>
      </c>
      <c r="G106" t="s">
        <v>309</v>
      </c>
      <c r="H106" t="str">
        <f>_xlfn.XLOOKUP(G106,final_code_definitions!A:A,final_code_definitions!F:F,"")</f>
        <v>Process, workflow, and logic quality</v>
      </c>
      <c r="I106" t="s">
        <v>10</v>
      </c>
    </row>
    <row r="107" spans="1:9" x14ac:dyDescent="0.2">
      <c r="A107" t="s">
        <v>223</v>
      </c>
      <c r="B107" s="1">
        <v>4.3344907407407408E-2</v>
      </c>
      <c r="C107" t="s">
        <v>26</v>
      </c>
      <c r="D107">
        <v>15</v>
      </c>
      <c r="E107" t="s">
        <v>243</v>
      </c>
      <c r="F107" t="s">
        <v>258</v>
      </c>
      <c r="G107" t="s">
        <v>304</v>
      </c>
      <c r="H107" t="str">
        <f>_xlfn.XLOOKUP(G107,final_code_definitions!A:A,final_code_definitions!F:F,"")</f>
        <v>Security and access control</v>
      </c>
      <c r="I107" t="s">
        <v>10</v>
      </c>
    </row>
    <row r="108" spans="1:9" x14ac:dyDescent="0.2">
      <c r="A108" t="s">
        <v>223</v>
      </c>
      <c r="B108" s="1">
        <v>4.3344907407407408E-2</v>
      </c>
      <c r="C108" t="s">
        <v>26</v>
      </c>
      <c r="D108">
        <v>15</v>
      </c>
      <c r="E108" t="s">
        <v>231</v>
      </c>
      <c r="F108" t="s">
        <v>259</v>
      </c>
      <c r="G108" t="s">
        <v>266</v>
      </c>
      <c r="H108" t="str">
        <f>_xlfn.XLOOKUP(G108,final_code_definitions!A:A,final_code_definitions!F:F,"")</f>
        <v>Input quality and project context</v>
      </c>
      <c r="I108" t="s">
        <v>9</v>
      </c>
    </row>
    <row r="109" spans="1:9" x14ac:dyDescent="0.2">
      <c r="A109" t="s">
        <v>223</v>
      </c>
      <c r="B109" s="1">
        <v>4.386574074074074E-2</v>
      </c>
      <c r="C109" t="s">
        <v>26</v>
      </c>
      <c r="D109">
        <v>15</v>
      </c>
      <c r="E109" t="s">
        <v>232</v>
      </c>
      <c r="F109" t="s">
        <v>260</v>
      </c>
      <c r="G109" t="s">
        <v>309</v>
      </c>
      <c r="H109" t="str">
        <f>_xlfn.XLOOKUP(G109,final_code_definitions!A:A,final_code_definitions!F:F,"")</f>
        <v>Process, workflow, and logic quality</v>
      </c>
      <c r="I109" t="s">
        <v>10</v>
      </c>
    </row>
    <row r="110" spans="1:9" x14ac:dyDescent="0.2">
      <c r="A110" t="s">
        <v>223</v>
      </c>
      <c r="B110" s="1">
        <v>4.386574074074074E-2</v>
      </c>
      <c r="C110" t="s">
        <v>26</v>
      </c>
      <c r="D110">
        <v>15</v>
      </c>
      <c r="E110" t="s">
        <v>244</v>
      </c>
      <c r="F110" t="s">
        <v>261</v>
      </c>
      <c r="G110" t="s">
        <v>290</v>
      </c>
      <c r="H110" t="str">
        <f>_xlfn.XLOOKUP(G110,final_code_definitions!A:A,final_code_definitions!F:F,"")</f>
        <v>Mendix convention alignment and maintainability</v>
      </c>
      <c r="I110" t="s">
        <v>10</v>
      </c>
    </row>
    <row r="111" spans="1:9" x14ac:dyDescent="0.2">
      <c r="A111" t="s">
        <v>223</v>
      </c>
      <c r="B111" s="1">
        <v>4.386574074074074E-2</v>
      </c>
      <c r="C111" t="s">
        <v>26</v>
      </c>
      <c r="D111">
        <v>15</v>
      </c>
      <c r="E111" t="s">
        <v>233</v>
      </c>
      <c r="F111" t="s">
        <v>262</v>
      </c>
      <c r="G111" t="s">
        <v>304</v>
      </c>
      <c r="H111" t="str">
        <f>_xlfn.XLOOKUP(G111,final_code_definitions!A:A,final_code_definitions!F:F,"")</f>
        <v>Security and access control</v>
      </c>
      <c r="I111" t="s">
        <v>9</v>
      </c>
    </row>
    <row r="112" spans="1:9" x14ac:dyDescent="0.2">
      <c r="A112" t="s">
        <v>223</v>
      </c>
      <c r="B112" s="1">
        <v>4.4409722222222225E-2</v>
      </c>
      <c r="C112" t="s">
        <v>26</v>
      </c>
      <c r="D112">
        <v>16</v>
      </c>
      <c r="E112" t="s">
        <v>234</v>
      </c>
      <c r="F112" t="s">
        <v>263</v>
      </c>
      <c r="G112" t="s">
        <v>312</v>
      </c>
      <c r="H112" t="str">
        <f>_xlfn.XLOOKUP(G112,final_code_definitions!A:A,final_code_definitions!F:F,"")</f>
        <v>Development handoff and adoption feasibility</v>
      </c>
      <c r="I11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B6DC6-0E7F-3244-82F2-CB89F8261F1D}">
  <dimension ref="A1:B17"/>
  <sheetViews>
    <sheetView workbookViewId="0">
      <selection activeCell="B24" sqref="B24"/>
    </sheetView>
  </sheetViews>
  <sheetFormatPr baseColWidth="10" defaultRowHeight="16" x14ac:dyDescent="0.2"/>
  <cols>
    <col min="2" max="2" width="115" bestFit="1" customWidth="1"/>
  </cols>
  <sheetData>
    <row r="1" spans="1:2" s="2" customFormat="1" x14ac:dyDescent="0.2">
      <c r="A1" s="2" t="s">
        <v>49</v>
      </c>
      <c r="B1" s="2" t="s">
        <v>50</v>
      </c>
    </row>
    <row r="2" spans="1:2" x14ac:dyDescent="0.2">
      <c r="A2">
        <v>1</v>
      </c>
      <c r="B2" s="5" t="s">
        <v>51</v>
      </c>
    </row>
    <row r="3" spans="1:2" x14ac:dyDescent="0.2">
      <c r="A3">
        <v>2</v>
      </c>
      <c r="B3" t="s">
        <v>52</v>
      </c>
    </row>
    <row r="4" spans="1:2" x14ac:dyDescent="0.2">
      <c r="A4">
        <v>3</v>
      </c>
      <c r="B4" t="s">
        <v>56</v>
      </c>
    </row>
    <row r="5" spans="1:2" x14ac:dyDescent="0.2">
      <c r="A5">
        <v>4</v>
      </c>
      <c r="B5" t="s">
        <v>106</v>
      </c>
    </row>
    <row r="6" spans="1:2" x14ac:dyDescent="0.2">
      <c r="A6">
        <v>5</v>
      </c>
      <c r="B6" s="4" t="s">
        <v>77</v>
      </c>
    </row>
    <row r="7" spans="1:2" x14ac:dyDescent="0.2">
      <c r="A7">
        <v>6</v>
      </c>
      <c r="B7" s="5" t="s">
        <v>95</v>
      </c>
    </row>
    <row r="8" spans="1:2" x14ac:dyDescent="0.2">
      <c r="A8">
        <v>7</v>
      </c>
      <c r="B8" s="5" t="s">
        <v>101</v>
      </c>
    </row>
    <row r="9" spans="1:2" x14ac:dyDescent="0.2">
      <c r="A9">
        <v>8</v>
      </c>
      <c r="B9" t="s">
        <v>103</v>
      </c>
    </row>
    <row r="10" spans="1:2" x14ac:dyDescent="0.2">
      <c r="A10">
        <v>9</v>
      </c>
      <c r="B10" s="5" t="s">
        <v>105</v>
      </c>
    </row>
    <row r="11" spans="1:2" x14ac:dyDescent="0.2">
      <c r="A11">
        <v>10</v>
      </c>
      <c r="B11" t="s">
        <v>177</v>
      </c>
    </row>
    <row r="12" spans="1:2" x14ac:dyDescent="0.2">
      <c r="A12">
        <v>11</v>
      </c>
      <c r="B12" s="5" t="s">
        <v>178</v>
      </c>
    </row>
    <row r="13" spans="1:2" x14ac:dyDescent="0.2">
      <c r="A13">
        <v>12</v>
      </c>
      <c r="B13" t="s">
        <v>181</v>
      </c>
    </row>
    <row r="14" spans="1:2" x14ac:dyDescent="0.2">
      <c r="A14">
        <v>13</v>
      </c>
      <c r="B14" s="4" t="s">
        <v>235</v>
      </c>
    </row>
    <row r="15" spans="1:2" x14ac:dyDescent="0.2">
      <c r="A15">
        <v>14</v>
      </c>
      <c r="B15" t="s">
        <v>236</v>
      </c>
    </row>
    <row r="16" spans="1:2" x14ac:dyDescent="0.2">
      <c r="A16">
        <v>15</v>
      </c>
      <c r="B16" t="s">
        <v>240</v>
      </c>
    </row>
    <row r="17" spans="1:2" x14ac:dyDescent="0.2">
      <c r="A17">
        <v>16</v>
      </c>
      <c r="B17" t="s">
        <v>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9334-1829-504E-8974-08145AB73A9D}">
  <dimension ref="A1:F59"/>
  <sheetViews>
    <sheetView tabSelected="1" topLeftCell="A51" workbookViewId="0">
      <selection activeCell="A60" sqref="A60:XFD60"/>
    </sheetView>
  </sheetViews>
  <sheetFormatPr baseColWidth="10" defaultRowHeight="16" x14ac:dyDescent="0.2"/>
  <cols>
    <col min="1" max="1" width="44.33203125" bestFit="1" customWidth="1"/>
    <col min="2" max="2" width="97.83203125" bestFit="1" customWidth="1"/>
    <col min="3" max="3" width="86.1640625" bestFit="1" customWidth="1"/>
    <col min="4" max="4" width="94.83203125" bestFit="1" customWidth="1"/>
    <col min="5" max="5" width="70.83203125" bestFit="1" customWidth="1"/>
    <col min="6" max="6" width="41.33203125" bestFit="1" customWidth="1"/>
  </cols>
  <sheetData>
    <row r="1" spans="1:6" s="2" customFormat="1" x14ac:dyDescent="0.2">
      <c r="A1" s="2" t="s">
        <v>78</v>
      </c>
      <c r="B1" s="2" t="s">
        <v>79</v>
      </c>
      <c r="C1" s="2" t="s">
        <v>80</v>
      </c>
      <c r="D1" s="2" t="s">
        <v>81</v>
      </c>
      <c r="E1" s="2" t="s">
        <v>82</v>
      </c>
      <c r="F1" s="2" t="s">
        <v>6</v>
      </c>
    </row>
    <row r="2" spans="1:6" x14ac:dyDescent="0.2">
      <c r="A2" t="s">
        <v>264</v>
      </c>
      <c r="B2" t="s">
        <v>336</v>
      </c>
      <c r="C2" t="s">
        <v>337</v>
      </c>
      <c r="D2" t="s">
        <v>338</v>
      </c>
      <c r="E2" t="s">
        <v>339</v>
      </c>
      <c r="F2" t="s">
        <v>318</v>
      </c>
    </row>
    <row r="3" spans="1:6" x14ac:dyDescent="0.2">
      <c r="A3" t="s">
        <v>265</v>
      </c>
      <c r="B3" t="s">
        <v>340</v>
      </c>
      <c r="C3" t="s">
        <v>341</v>
      </c>
      <c r="D3" t="s">
        <v>342</v>
      </c>
      <c r="E3" t="s">
        <v>343</v>
      </c>
      <c r="F3" t="s">
        <v>315</v>
      </c>
    </row>
    <row r="4" spans="1:6" x14ac:dyDescent="0.2">
      <c r="A4" t="s">
        <v>266</v>
      </c>
      <c r="B4" t="s">
        <v>344</v>
      </c>
      <c r="C4" t="s">
        <v>345</v>
      </c>
      <c r="D4" t="s">
        <v>346</v>
      </c>
      <c r="E4" t="s">
        <v>347</v>
      </c>
      <c r="F4" t="s">
        <v>315</v>
      </c>
    </row>
    <row r="5" spans="1:6" x14ac:dyDescent="0.2">
      <c r="A5" t="s">
        <v>62</v>
      </c>
      <c r="B5" t="s">
        <v>348</v>
      </c>
      <c r="C5" t="s">
        <v>349</v>
      </c>
      <c r="D5" t="s">
        <v>350</v>
      </c>
      <c r="E5" t="s">
        <v>351</v>
      </c>
      <c r="F5" t="s">
        <v>333</v>
      </c>
    </row>
    <row r="6" spans="1:6" x14ac:dyDescent="0.2">
      <c r="A6" t="s">
        <v>267</v>
      </c>
      <c r="B6" t="s">
        <v>352</v>
      </c>
      <c r="C6" t="s">
        <v>353</v>
      </c>
      <c r="D6" t="s">
        <v>354</v>
      </c>
      <c r="E6" t="s">
        <v>355</v>
      </c>
      <c r="F6" t="s">
        <v>315</v>
      </c>
    </row>
    <row r="7" spans="1:6" x14ac:dyDescent="0.2">
      <c r="A7" t="s">
        <v>268</v>
      </c>
      <c r="B7" t="s">
        <v>356</v>
      </c>
      <c r="C7" t="s">
        <v>357</v>
      </c>
      <c r="D7" t="s">
        <v>358</v>
      </c>
      <c r="E7" t="s">
        <v>24</v>
      </c>
      <c r="F7" t="s">
        <v>321</v>
      </c>
    </row>
    <row r="8" spans="1:6" x14ac:dyDescent="0.2">
      <c r="A8" t="s">
        <v>14</v>
      </c>
      <c r="B8" t="s">
        <v>359</v>
      </c>
      <c r="C8" t="s">
        <v>360</v>
      </c>
      <c r="D8" t="s">
        <v>361</v>
      </c>
      <c r="E8" t="s">
        <v>362</v>
      </c>
      <c r="F8" t="s">
        <v>327</v>
      </c>
    </row>
    <row r="9" spans="1:6" x14ac:dyDescent="0.2">
      <c r="A9" t="s">
        <v>16</v>
      </c>
      <c r="B9" t="s">
        <v>363</v>
      </c>
      <c r="C9" t="s">
        <v>364</v>
      </c>
      <c r="D9" t="s">
        <v>365</v>
      </c>
      <c r="E9" t="s">
        <v>366</v>
      </c>
      <c r="F9" t="s">
        <v>321</v>
      </c>
    </row>
    <row r="10" spans="1:6" x14ac:dyDescent="0.2">
      <c r="A10" t="s">
        <v>269</v>
      </c>
      <c r="B10" t="s">
        <v>367</v>
      </c>
      <c r="C10" t="s">
        <v>368</v>
      </c>
      <c r="D10" t="s">
        <v>369</v>
      </c>
      <c r="E10" t="s">
        <v>370</v>
      </c>
      <c r="F10" t="s">
        <v>327</v>
      </c>
    </row>
    <row r="11" spans="1:6" x14ac:dyDescent="0.2">
      <c r="A11" t="s">
        <v>270</v>
      </c>
      <c r="B11" t="s">
        <v>371</v>
      </c>
      <c r="C11" t="s">
        <v>372</v>
      </c>
      <c r="D11" t="s">
        <v>373</v>
      </c>
      <c r="E11" t="s">
        <v>374</v>
      </c>
      <c r="F11" t="s">
        <v>315</v>
      </c>
    </row>
    <row r="12" spans="1:6" x14ac:dyDescent="0.2">
      <c r="A12" t="s">
        <v>271</v>
      </c>
      <c r="B12" t="s">
        <v>375</v>
      </c>
      <c r="C12" t="s">
        <v>376</v>
      </c>
      <c r="D12" t="s">
        <v>377</v>
      </c>
      <c r="E12" t="s">
        <v>378</v>
      </c>
      <c r="F12" t="s">
        <v>315</v>
      </c>
    </row>
    <row r="13" spans="1:6" x14ac:dyDescent="0.2">
      <c r="A13" t="s">
        <v>272</v>
      </c>
      <c r="B13" t="s">
        <v>379</v>
      </c>
      <c r="C13" t="s">
        <v>380</v>
      </c>
      <c r="D13" t="s">
        <v>381</v>
      </c>
      <c r="E13" t="s">
        <v>382</v>
      </c>
      <c r="F13" t="s">
        <v>315</v>
      </c>
    </row>
    <row r="14" spans="1:6" x14ac:dyDescent="0.2">
      <c r="A14" t="s">
        <v>273</v>
      </c>
      <c r="B14" t="s">
        <v>383</v>
      </c>
      <c r="C14" t="s">
        <v>384</v>
      </c>
      <c r="D14" t="s">
        <v>385</v>
      </c>
      <c r="E14" t="s">
        <v>386</v>
      </c>
      <c r="F14" t="s">
        <v>315</v>
      </c>
    </row>
    <row r="15" spans="1:6" x14ac:dyDescent="0.2">
      <c r="A15" t="s">
        <v>274</v>
      </c>
      <c r="B15" t="s">
        <v>387</v>
      </c>
      <c r="C15" t="s">
        <v>388</v>
      </c>
      <c r="D15" t="s">
        <v>389</v>
      </c>
      <c r="E15" t="s">
        <v>390</v>
      </c>
      <c r="F15" t="s">
        <v>315</v>
      </c>
    </row>
    <row r="16" spans="1:6" x14ac:dyDescent="0.2">
      <c r="A16" t="s">
        <v>275</v>
      </c>
      <c r="B16" t="s">
        <v>391</v>
      </c>
      <c r="C16" t="s">
        <v>392</v>
      </c>
      <c r="D16" t="s">
        <v>393</v>
      </c>
      <c r="E16" t="s">
        <v>394</v>
      </c>
      <c r="F16" t="s">
        <v>318</v>
      </c>
    </row>
    <row r="17" spans="1:6" x14ac:dyDescent="0.2">
      <c r="A17" t="s">
        <v>276</v>
      </c>
      <c r="B17" t="s">
        <v>395</v>
      </c>
      <c r="C17" t="s">
        <v>396</v>
      </c>
      <c r="D17" t="s">
        <v>397</v>
      </c>
      <c r="E17" t="s">
        <v>398</v>
      </c>
      <c r="F17" t="s">
        <v>318</v>
      </c>
    </row>
    <row r="18" spans="1:6" x14ac:dyDescent="0.2">
      <c r="A18" t="s">
        <v>277</v>
      </c>
      <c r="B18" t="s">
        <v>399</v>
      </c>
      <c r="C18" t="s">
        <v>400</v>
      </c>
      <c r="D18" t="s">
        <v>401</v>
      </c>
      <c r="E18" t="s">
        <v>402</v>
      </c>
      <c r="F18" t="s">
        <v>318</v>
      </c>
    </row>
    <row r="19" spans="1:6" x14ac:dyDescent="0.2">
      <c r="A19" t="s">
        <v>278</v>
      </c>
      <c r="B19" t="s">
        <v>403</v>
      </c>
      <c r="C19" t="s">
        <v>404</v>
      </c>
      <c r="D19" t="s">
        <v>405</v>
      </c>
      <c r="E19" t="s">
        <v>406</v>
      </c>
      <c r="F19" t="s">
        <v>318</v>
      </c>
    </row>
    <row r="20" spans="1:6" x14ac:dyDescent="0.2">
      <c r="A20" t="s">
        <v>279</v>
      </c>
      <c r="B20" t="s">
        <v>407</v>
      </c>
      <c r="C20" t="s">
        <v>408</v>
      </c>
      <c r="D20" t="s">
        <v>409</v>
      </c>
      <c r="E20" t="s">
        <v>410</v>
      </c>
      <c r="F20" t="s">
        <v>318</v>
      </c>
    </row>
    <row r="21" spans="1:6" x14ac:dyDescent="0.2">
      <c r="A21" t="s">
        <v>280</v>
      </c>
      <c r="B21" t="s">
        <v>411</v>
      </c>
      <c r="C21" t="s">
        <v>412</v>
      </c>
      <c r="D21" t="s">
        <v>413</v>
      </c>
      <c r="E21" t="s">
        <v>414</v>
      </c>
      <c r="F21" t="s">
        <v>318</v>
      </c>
    </row>
    <row r="22" spans="1:6" x14ac:dyDescent="0.2">
      <c r="A22" t="s">
        <v>281</v>
      </c>
      <c r="B22" t="s">
        <v>415</v>
      </c>
      <c r="C22" t="s">
        <v>416</v>
      </c>
      <c r="D22" t="s">
        <v>417</v>
      </c>
      <c r="E22" t="s">
        <v>418</v>
      </c>
      <c r="F22" t="s">
        <v>318</v>
      </c>
    </row>
    <row r="23" spans="1:6" x14ac:dyDescent="0.2">
      <c r="A23" t="s">
        <v>282</v>
      </c>
      <c r="B23" t="s">
        <v>419</v>
      </c>
      <c r="C23" t="s">
        <v>420</v>
      </c>
      <c r="D23" t="s">
        <v>421</v>
      </c>
      <c r="E23" t="s">
        <v>422</v>
      </c>
      <c r="F23" t="s">
        <v>318</v>
      </c>
    </row>
    <row r="24" spans="1:6" x14ac:dyDescent="0.2">
      <c r="A24" t="s">
        <v>112</v>
      </c>
      <c r="B24" t="s">
        <v>423</v>
      </c>
      <c r="C24" t="s">
        <v>424</v>
      </c>
      <c r="D24" t="s">
        <v>425</v>
      </c>
      <c r="E24" t="s">
        <v>426</v>
      </c>
      <c r="F24" t="s">
        <v>318</v>
      </c>
    </row>
    <row r="25" spans="1:6" x14ac:dyDescent="0.2">
      <c r="A25" t="s">
        <v>283</v>
      </c>
      <c r="B25" t="s">
        <v>427</v>
      </c>
      <c r="C25" t="s">
        <v>428</v>
      </c>
      <c r="D25" t="s">
        <v>429</v>
      </c>
      <c r="E25" t="s">
        <v>430</v>
      </c>
      <c r="F25" t="s">
        <v>318</v>
      </c>
    </row>
    <row r="26" spans="1:6" x14ac:dyDescent="0.2">
      <c r="A26" t="s">
        <v>284</v>
      </c>
      <c r="B26" t="s">
        <v>431</v>
      </c>
      <c r="C26" t="s">
        <v>432</v>
      </c>
      <c r="D26" t="s">
        <v>433</v>
      </c>
      <c r="E26" t="s">
        <v>434</v>
      </c>
      <c r="F26" t="s">
        <v>318</v>
      </c>
    </row>
    <row r="27" spans="1:6" x14ac:dyDescent="0.2">
      <c r="A27" t="s">
        <v>285</v>
      </c>
      <c r="B27" t="s">
        <v>435</v>
      </c>
      <c r="C27" t="s">
        <v>436</v>
      </c>
      <c r="D27" t="s">
        <v>437</v>
      </c>
      <c r="E27" t="s">
        <v>438</v>
      </c>
      <c r="F27" t="s">
        <v>318</v>
      </c>
    </row>
    <row r="28" spans="1:6" x14ac:dyDescent="0.2">
      <c r="A28" t="s">
        <v>286</v>
      </c>
      <c r="B28" t="s">
        <v>439</v>
      </c>
      <c r="C28" t="s">
        <v>440</v>
      </c>
      <c r="D28" t="s">
        <v>441</v>
      </c>
      <c r="E28" t="s">
        <v>442</v>
      </c>
      <c r="F28" t="s">
        <v>321</v>
      </c>
    </row>
    <row r="29" spans="1:6" x14ac:dyDescent="0.2">
      <c r="A29" t="s">
        <v>287</v>
      </c>
      <c r="B29" t="s">
        <v>443</v>
      </c>
      <c r="C29" t="s">
        <v>444</v>
      </c>
      <c r="D29" t="s">
        <v>445</v>
      </c>
      <c r="E29" t="s">
        <v>446</v>
      </c>
      <c r="F29" t="s">
        <v>321</v>
      </c>
    </row>
    <row r="30" spans="1:6" x14ac:dyDescent="0.2">
      <c r="A30" t="s">
        <v>288</v>
      </c>
      <c r="B30" t="s">
        <v>447</v>
      </c>
      <c r="C30" t="s">
        <v>448</v>
      </c>
      <c r="D30" t="s">
        <v>449</v>
      </c>
      <c r="E30" t="s">
        <v>126</v>
      </c>
      <c r="F30" t="s">
        <v>330</v>
      </c>
    </row>
    <row r="31" spans="1:6" x14ac:dyDescent="0.2">
      <c r="A31" t="s">
        <v>289</v>
      </c>
      <c r="B31" t="s">
        <v>450</v>
      </c>
      <c r="C31" t="s">
        <v>451</v>
      </c>
      <c r="D31" t="s">
        <v>452</v>
      </c>
      <c r="E31" t="s">
        <v>453</v>
      </c>
      <c r="F31" t="s">
        <v>321</v>
      </c>
    </row>
    <row r="32" spans="1:6" x14ac:dyDescent="0.2">
      <c r="A32" t="s">
        <v>290</v>
      </c>
      <c r="B32" t="s">
        <v>454</v>
      </c>
      <c r="C32" t="s">
        <v>455</v>
      </c>
      <c r="D32" t="s">
        <v>456</v>
      </c>
      <c r="E32" t="s">
        <v>457</v>
      </c>
      <c r="F32" t="s">
        <v>324</v>
      </c>
    </row>
    <row r="33" spans="1:6" x14ac:dyDescent="0.2">
      <c r="A33" t="s">
        <v>291</v>
      </c>
      <c r="B33" t="s">
        <v>458</v>
      </c>
      <c r="C33" t="s">
        <v>459</v>
      </c>
      <c r="D33" t="s">
        <v>460</v>
      </c>
      <c r="E33" t="s">
        <v>461</v>
      </c>
      <c r="F33" t="s">
        <v>324</v>
      </c>
    </row>
    <row r="34" spans="1:6" x14ac:dyDescent="0.2">
      <c r="A34" t="s">
        <v>292</v>
      </c>
      <c r="B34" t="s">
        <v>462</v>
      </c>
      <c r="C34" t="s">
        <v>463</v>
      </c>
      <c r="D34" t="s">
        <v>464</v>
      </c>
      <c r="E34" t="s">
        <v>465</v>
      </c>
      <c r="F34" t="s">
        <v>327</v>
      </c>
    </row>
    <row r="35" spans="1:6" x14ac:dyDescent="0.2">
      <c r="A35" t="s">
        <v>293</v>
      </c>
      <c r="B35" t="s">
        <v>466</v>
      </c>
      <c r="C35" t="s">
        <v>467</v>
      </c>
      <c r="D35" t="s">
        <v>468</v>
      </c>
      <c r="E35" t="s">
        <v>469</v>
      </c>
      <c r="F35" t="s">
        <v>324</v>
      </c>
    </row>
    <row r="36" spans="1:6" x14ac:dyDescent="0.2">
      <c r="A36" t="s">
        <v>294</v>
      </c>
      <c r="B36" t="s">
        <v>470</v>
      </c>
      <c r="C36" t="s">
        <v>471</v>
      </c>
      <c r="D36" t="s">
        <v>472</v>
      </c>
      <c r="E36" t="s">
        <v>473</v>
      </c>
      <c r="F36" t="s">
        <v>327</v>
      </c>
    </row>
    <row r="37" spans="1:6" x14ac:dyDescent="0.2">
      <c r="A37" t="s">
        <v>295</v>
      </c>
      <c r="B37" t="s">
        <v>474</v>
      </c>
      <c r="C37" t="s">
        <v>475</v>
      </c>
      <c r="D37" t="s">
        <v>476</v>
      </c>
      <c r="E37" t="s">
        <v>477</v>
      </c>
      <c r="F37" t="s">
        <v>324</v>
      </c>
    </row>
    <row r="38" spans="1:6" x14ac:dyDescent="0.2">
      <c r="A38" t="s">
        <v>199</v>
      </c>
      <c r="B38" t="s">
        <v>478</v>
      </c>
      <c r="C38" t="s">
        <v>479</v>
      </c>
      <c r="D38" t="s">
        <v>480</v>
      </c>
      <c r="E38" t="s">
        <v>146</v>
      </c>
      <c r="F38" t="s">
        <v>327</v>
      </c>
    </row>
    <row r="39" spans="1:6" x14ac:dyDescent="0.2">
      <c r="A39" t="s">
        <v>200</v>
      </c>
      <c r="B39" t="s">
        <v>481</v>
      </c>
      <c r="C39" t="s">
        <v>482</v>
      </c>
      <c r="D39" t="s">
        <v>483</v>
      </c>
      <c r="E39" t="s">
        <v>484</v>
      </c>
      <c r="F39" t="s">
        <v>327</v>
      </c>
    </row>
    <row r="40" spans="1:6" x14ac:dyDescent="0.2">
      <c r="A40" t="s">
        <v>296</v>
      </c>
      <c r="B40" t="s">
        <v>485</v>
      </c>
      <c r="C40" t="s">
        <v>486</v>
      </c>
      <c r="D40" t="s">
        <v>487</v>
      </c>
      <c r="E40" t="s">
        <v>149</v>
      </c>
      <c r="F40" t="s">
        <v>327</v>
      </c>
    </row>
    <row r="41" spans="1:6" x14ac:dyDescent="0.2">
      <c r="A41" t="s">
        <v>297</v>
      </c>
      <c r="B41" t="s">
        <v>488</v>
      </c>
      <c r="C41" t="s">
        <v>489</v>
      </c>
      <c r="D41" t="s">
        <v>490</v>
      </c>
      <c r="E41" t="s">
        <v>491</v>
      </c>
      <c r="F41" t="s">
        <v>330</v>
      </c>
    </row>
    <row r="42" spans="1:6" x14ac:dyDescent="0.2">
      <c r="A42" t="s">
        <v>207</v>
      </c>
      <c r="B42" t="s">
        <v>492</v>
      </c>
      <c r="C42" t="s">
        <v>493</v>
      </c>
      <c r="D42" t="s">
        <v>494</v>
      </c>
      <c r="E42" t="s">
        <v>495</v>
      </c>
      <c r="F42" t="s">
        <v>327</v>
      </c>
    </row>
    <row r="43" spans="1:6" x14ac:dyDescent="0.2">
      <c r="A43" t="s">
        <v>209</v>
      </c>
      <c r="B43" t="s">
        <v>496</v>
      </c>
      <c r="C43" t="s">
        <v>497</v>
      </c>
      <c r="D43" t="s">
        <v>498</v>
      </c>
      <c r="E43" t="s">
        <v>499</v>
      </c>
      <c r="F43" t="s">
        <v>327</v>
      </c>
    </row>
    <row r="44" spans="1:6" x14ac:dyDescent="0.2">
      <c r="A44" t="s">
        <v>298</v>
      </c>
      <c r="B44" t="s">
        <v>500</v>
      </c>
      <c r="C44" t="s">
        <v>501</v>
      </c>
      <c r="D44" t="s">
        <v>502</v>
      </c>
      <c r="E44" t="s">
        <v>503</v>
      </c>
      <c r="F44" t="s">
        <v>327</v>
      </c>
    </row>
    <row r="45" spans="1:6" x14ac:dyDescent="0.2">
      <c r="A45" t="s">
        <v>299</v>
      </c>
      <c r="B45" t="s">
        <v>504</v>
      </c>
      <c r="C45" t="s">
        <v>505</v>
      </c>
      <c r="D45" t="s">
        <v>506</v>
      </c>
      <c r="E45" t="s">
        <v>228</v>
      </c>
      <c r="F45" t="s">
        <v>327</v>
      </c>
    </row>
    <row r="46" spans="1:6" x14ac:dyDescent="0.2">
      <c r="A46" t="s">
        <v>300</v>
      </c>
      <c r="B46" t="s">
        <v>507</v>
      </c>
      <c r="C46" t="s">
        <v>508</v>
      </c>
      <c r="D46" t="s">
        <v>509</v>
      </c>
      <c r="E46" t="s">
        <v>510</v>
      </c>
      <c r="F46" t="s">
        <v>333</v>
      </c>
    </row>
    <row r="47" spans="1:6" x14ac:dyDescent="0.2">
      <c r="A47" t="s">
        <v>301</v>
      </c>
      <c r="B47" t="s">
        <v>511</v>
      </c>
      <c r="C47" t="s">
        <v>512</v>
      </c>
      <c r="D47" t="s">
        <v>513</v>
      </c>
      <c r="E47" t="s">
        <v>514</v>
      </c>
      <c r="F47" t="s">
        <v>333</v>
      </c>
    </row>
    <row r="48" spans="1:6" x14ac:dyDescent="0.2">
      <c r="A48" t="s">
        <v>302</v>
      </c>
      <c r="B48" t="s">
        <v>515</v>
      </c>
      <c r="C48" t="s">
        <v>516</v>
      </c>
      <c r="D48" t="s">
        <v>517</v>
      </c>
      <c r="E48" t="s">
        <v>518</v>
      </c>
      <c r="F48" t="s">
        <v>333</v>
      </c>
    </row>
    <row r="49" spans="1:6" x14ac:dyDescent="0.2">
      <c r="A49" t="s">
        <v>303</v>
      </c>
      <c r="B49" t="s">
        <v>519</v>
      </c>
      <c r="C49" t="s">
        <v>520</v>
      </c>
      <c r="D49" t="s">
        <v>521</v>
      </c>
      <c r="E49" t="s">
        <v>522</v>
      </c>
      <c r="F49" t="s">
        <v>330</v>
      </c>
    </row>
    <row r="50" spans="1:6" x14ac:dyDescent="0.2">
      <c r="A50" t="s">
        <v>304</v>
      </c>
      <c r="B50" t="s">
        <v>523</v>
      </c>
      <c r="C50" t="s">
        <v>524</v>
      </c>
      <c r="D50" t="s">
        <v>525</v>
      </c>
      <c r="E50" t="s">
        <v>526</v>
      </c>
      <c r="F50" t="s">
        <v>330</v>
      </c>
    </row>
    <row r="51" spans="1:6" x14ac:dyDescent="0.2">
      <c r="A51" t="s">
        <v>222</v>
      </c>
      <c r="B51" t="s">
        <v>527</v>
      </c>
      <c r="C51" t="s">
        <v>528</v>
      </c>
      <c r="D51" t="s">
        <v>529</v>
      </c>
      <c r="E51" t="s">
        <v>530</v>
      </c>
      <c r="F51" t="s">
        <v>318</v>
      </c>
    </row>
    <row r="52" spans="1:6" x14ac:dyDescent="0.2">
      <c r="A52" t="s">
        <v>305</v>
      </c>
      <c r="B52" t="s">
        <v>531</v>
      </c>
      <c r="C52" t="s">
        <v>532</v>
      </c>
      <c r="D52" t="s">
        <v>533</v>
      </c>
      <c r="E52" t="s">
        <v>534</v>
      </c>
      <c r="F52" t="s">
        <v>333</v>
      </c>
    </row>
    <row r="53" spans="1:6" x14ac:dyDescent="0.2">
      <c r="A53" t="s">
        <v>306</v>
      </c>
      <c r="B53" t="s">
        <v>535</v>
      </c>
      <c r="C53" t="s">
        <v>536</v>
      </c>
      <c r="D53" t="s">
        <v>537</v>
      </c>
      <c r="E53" t="s">
        <v>538</v>
      </c>
      <c r="F53" t="s">
        <v>333</v>
      </c>
    </row>
    <row r="54" spans="1:6" x14ac:dyDescent="0.2">
      <c r="A54" t="s">
        <v>307</v>
      </c>
      <c r="B54" t="s">
        <v>539</v>
      </c>
      <c r="C54" t="s">
        <v>540</v>
      </c>
      <c r="D54" t="s">
        <v>541</v>
      </c>
      <c r="E54" t="s">
        <v>542</v>
      </c>
      <c r="F54" t="s">
        <v>333</v>
      </c>
    </row>
    <row r="55" spans="1:6" x14ac:dyDescent="0.2">
      <c r="A55" t="s">
        <v>308</v>
      </c>
      <c r="B55" t="s">
        <v>543</v>
      </c>
      <c r="C55" t="s">
        <v>544</v>
      </c>
      <c r="D55" t="s">
        <v>545</v>
      </c>
      <c r="E55" t="s">
        <v>546</v>
      </c>
      <c r="F55" t="s">
        <v>324</v>
      </c>
    </row>
    <row r="56" spans="1:6" x14ac:dyDescent="0.2">
      <c r="A56" t="s">
        <v>309</v>
      </c>
      <c r="B56" t="s">
        <v>547</v>
      </c>
      <c r="C56" t="s">
        <v>548</v>
      </c>
      <c r="D56" t="s">
        <v>549</v>
      </c>
      <c r="E56" t="s">
        <v>550</v>
      </c>
      <c r="F56" t="s">
        <v>327</v>
      </c>
    </row>
    <row r="57" spans="1:6" x14ac:dyDescent="0.2">
      <c r="A57" t="s">
        <v>310</v>
      </c>
      <c r="B57" t="s">
        <v>551</v>
      </c>
      <c r="C57" t="s">
        <v>552</v>
      </c>
      <c r="D57" t="s">
        <v>553</v>
      </c>
      <c r="E57" t="s">
        <v>554</v>
      </c>
      <c r="F57" t="s">
        <v>327</v>
      </c>
    </row>
    <row r="58" spans="1:6" x14ac:dyDescent="0.2">
      <c r="A58" t="s">
        <v>311</v>
      </c>
      <c r="B58" t="s">
        <v>555</v>
      </c>
      <c r="C58" t="s">
        <v>556</v>
      </c>
      <c r="D58" t="s">
        <v>557</v>
      </c>
      <c r="E58" t="s">
        <v>558</v>
      </c>
      <c r="F58" t="s">
        <v>324</v>
      </c>
    </row>
    <row r="59" spans="1:6" x14ac:dyDescent="0.2">
      <c r="A59" t="s">
        <v>312</v>
      </c>
      <c r="B59" t="s">
        <v>559</v>
      </c>
      <c r="C59" t="s">
        <v>560</v>
      </c>
      <c r="D59" t="s">
        <v>561</v>
      </c>
      <c r="E59" t="s">
        <v>562</v>
      </c>
      <c r="F59"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7D27-4CFB-824A-AC33-C330FBDCCD88}">
  <dimension ref="A1:C8"/>
  <sheetViews>
    <sheetView workbookViewId="0">
      <selection activeCell="B15" sqref="B15"/>
    </sheetView>
  </sheetViews>
  <sheetFormatPr baseColWidth="10" defaultRowHeight="16" x14ac:dyDescent="0.2"/>
  <cols>
    <col min="1" max="1" width="41.33203125" bestFit="1" customWidth="1"/>
    <col min="2" max="2" width="181.1640625" bestFit="1" customWidth="1"/>
    <col min="3" max="3" width="255.83203125" bestFit="1" customWidth="1"/>
  </cols>
  <sheetData>
    <row r="1" spans="1:3" s="2" customFormat="1" x14ac:dyDescent="0.2">
      <c r="A1" s="2" t="s">
        <v>6</v>
      </c>
      <c r="B1" s="2" t="s">
        <v>313</v>
      </c>
      <c r="C1" s="2" t="s">
        <v>314</v>
      </c>
    </row>
    <row r="2" spans="1:3" x14ac:dyDescent="0.2">
      <c r="A2" t="s">
        <v>315</v>
      </c>
      <c r="B2" t="s">
        <v>316</v>
      </c>
      <c r="C2" t="s">
        <v>317</v>
      </c>
    </row>
    <row r="3" spans="1:3" x14ac:dyDescent="0.2">
      <c r="A3" t="s">
        <v>318</v>
      </c>
      <c r="B3" t="s">
        <v>319</v>
      </c>
      <c r="C3" t="s">
        <v>320</v>
      </c>
    </row>
    <row r="4" spans="1:3" x14ac:dyDescent="0.2">
      <c r="A4" t="s">
        <v>321</v>
      </c>
      <c r="B4" t="s">
        <v>322</v>
      </c>
      <c r="C4" t="s">
        <v>323</v>
      </c>
    </row>
    <row r="5" spans="1:3" x14ac:dyDescent="0.2">
      <c r="A5" t="s">
        <v>324</v>
      </c>
      <c r="B5" t="s">
        <v>325</v>
      </c>
      <c r="C5" t="s">
        <v>326</v>
      </c>
    </row>
    <row r="6" spans="1:3" x14ac:dyDescent="0.2">
      <c r="A6" t="s">
        <v>327</v>
      </c>
      <c r="B6" t="s">
        <v>328</v>
      </c>
      <c r="C6" t="s">
        <v>329</v>
      </c>
    </row>
    <row r="7" spans="1:3" x14ac:dyDescent="0.2">
      <c r="A7" t="s">
        <v>330</v>
      </c>
      <c r="B7" t="s">
        <v>331</v>
      </c>
      <c r="C7" t="s">
        <v>332</v>
      </c>
    </row>
    <row r="8" spans="1:3" x14ac:dyDescent="0.2">
      <c r="A8" t="s">
        <v>333</v>
      </c>
      <c r="B8" t="s">
        <v>334</v>
      </c>
      <c r="C8"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codebook</vt:lpstr>
      <vt:lpstr>questions</vt:lpstr>
      <vt:lpstr>final_code_definitions</vt:lpstr>
      <vt:lpstr>themes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Louws, M.N. (Matthias)</dc:creator>
  <cp:lastModifiedBy>Louws, M.N. (Matthias)</cp:lastModifiedBy>
  <dcterms:created xsi:type="dcterms:W3CDTF">2026-06-27T14:16:02Z</dcterms:created>
  <dcterms:modified xsi:type="dcterms:W3CDTF">2026-06-27T20:45:27Z</dcterms:modified>
</cp:coreProperties>
</file>